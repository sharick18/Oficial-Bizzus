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visible" name="Precios  (2)" sheetId="3" r:id="rId6"/>
    <sheet state="hidden" name="Soporte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sfX6Voze2x1CWf17QbfQfam6cmourLMGZ88E+cu7PeA="/>
    </ext>
  </extLst>
</workbook>
</file>

<file path=xl/sharedStrings.xml><?xml version="1.0" encoding="utf-8"?>
<sst xmlns="http://schemas.openxmlformats.org/spreadsheetml/2006/main" count="226" uniqueCount="179">
  <si>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</si>
  <si>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</si>
  <si>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</si>
  <si>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</si>
  <si>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</si>
  <si>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</si>
  <si>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 (ALKOSTO)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</si>
  <si>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</si>
  <si>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</si>
  <si>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</si>
  <si>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</si>
  <si>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</si>
  <si>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</si>
  <si>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</si>
  <si>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</si>
  <si>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Lavadora LG carga superior 16 kg WT16MVTB</t>
  </si>
  <si>
    <t>mart TV Samsung 75″ Crystal UHD U8000</t>
  </si>
  <si>
    <t>Portátil ASUS Vivobook 16″ Ryzen 5, 16 GB RAM, 512 GB SSD</t>
  </si>
  <si>
    <t xml:space="preserve">$2,380,000	</t>
  </si>
  <si>
    <t>Nevera Haceb No Frost 294 L con dispensado</t>
  </si>
  <si>
    <t xml:space="preserve">$ 1,779,050	</t>
  </si>
  <si>
    <t>Freidora de aire Imusa Max 5 L digital</t>
  </si>
  <si>
    <t xml:space="preserve">	$ 315,000</t>
  </si>
  <si>
    <t>Olla a presión IMUSA 7 L Talent Master</t>
  </si>
  <si>
    <t xml:space="preserve">	$ 410,000</t>
  </si>
  <si>
    <t xml:space="preserve">	$ 385,000</t>
  </si>
  <si>
    <t xml:space="preserve">	$385,000</t>
  </si>
  <si>
    <t>Juego de ollas IMUSA Hard Titanium</t>
  </si>
  <si>
    <t xml:space="preserve">$ 331,200	</t>
  </si>
  <si>
    <t xml:space="preserve">	$ 340,000</t>
  </si>
  <si>
    <t xml:space="preserve">	$345,000</t>
  </si>
  <si>
    <t xml:space="preserve">	$338,733</t>
  </si>
  <si>
    <t xml:space="preserve">	$ 345,000</t>
  </si>
  <si>
    <t>Licuadora Oster Reversible 600 W vidrio</t>
  </si>
  <si>
    <t xml:space="preserve">	$ 259,900</t>
  </si>
  <si>
    <t xml:space="preserve">	$ 268,266</t>
  </si>
  <si>
    <t xml:space="preserve">	$ 275,000</t>
  </si>
  <si>
    <t>PlayStation 5 Slim (con disco)</t>
  </si>
  <si>
    <t>Altavoz Bluetooth JBL Xtreme 4</t>
  </si>
  <si>
    <t xml:space="preserve">	$ 376,195</t>
  </si>
  <si>
    <t xml:space="preserve">	$ 389,000</t>
  </si>
  <si>
    <t>5	$381,731</t>
  </si>
  <si>
    <t xml:space="preserve">	$389,000</t>
  </si>
  <si>
    <t>Total</t>
  </si>
  <si>
    <t>DATOS ADICIONALES</t>
  </si>
  <si>
    <t>TIEMPO DE ENTREGA (DIAS)</t>
  </si>
  <si>
    <t>HORAS DEL DIA LOS 7 DIAS DE LA SEMANA</t>
  </si>
  <si>
    <t>de 3 a 5 minutos</t>
  </si>
  <si>
    <t>3 a 10 dias habiles</t>
  </si>
  <si>
    <t>entrega de 2 dias habiles</t>
  </si>
  <si>
    <t>1 a 5 dias habiles</t>
  </si>
  <si>
    <t>5 dias laborales</t>
  </si>
  <si>
    <t>COSTO DE ENVÍO</t>
  </si>
  <si>
    <t>$287.497</t>
  </si>
  <si>
    <t>$295.39</t>
  </si>
  <si>
    <t>FORMAS DE PAGO</t>
  </si>
  <si>
    <t>Productos digitales, como PIN o licencias</t>
  </si>
  <si>
    <t>Productos grandes como neveras o lavadora</t>
  </si>
  <si>
    <t>Productos pequeños o disponibles en tienda</t>
  </si>
  <si>
    <t>Tecnología y hogar</t>
  </si>
  <si>
    <t>Envío nacional estándar</t>
  </si>
  <si>
    <t>CONTADO</t>
  </si>
  <si>
    <t>CONTADO / PAGO EN LINEA</t>
  </si>
  <si>
    <t>CONTADO / TARJETA DE CREDITO / PSE</t>
  </si>
  <si>
    <t>CONTADO O CREDITO ALKOSTO</t>
  </si>
  <si>
    <t>CONTADO / PSE / CRÉDITO ALKOSTO</t>
  </si>
  <si>
    <t>PROVEEDOR 1</t>
  </si>
  <si>
    <t>iPhone 13 128 GB Azul</t>
  </si>
  <si>
    <t>$2.199.010</t>
  </si>
  <si>
    <t>$2.250.000</t>
  </si>
  <si>
    <t>$2.180.000</t>
  </si>
  <si>
    <t>$2.220.000</t>
  </si>
  <si>
    <t>$2.300.000</t>
  </si>
  <si>
    <t>$2.210.000</t>
  </si>
  <si>
    <t>$2.226.667</t>
  </si>
  <si>
    <t>TV Samsung 75" U8000F 4K</t>
  </si>
  <si>
    <t>$5.899.900</t>
  </si>
  <si>
    <t>$5.850.000</t>
  </si>
  <si>
    <t>$5.920.000</t>
  </si>
  <si>
    <t>$5.880.000</t>
  </si>
  <si>
    <t>$5.910.000</t>
  </si>
  <si>
    <t>$5.940.000</t>
  </si>
  <si>
    <t>$5.900.000</t>
  </si>
  <si>
    <t>Laptop HP 15" i5 / 8 GB / SSD 512 GB</t>
  </si>
  <si>
    <t>$1.849.030</t>
  </si>
  <si>
    <t>$1.830.000</t>
  </si>
  <si>
    <t>$1.870.000</t>
  </si>
  <si>
    <t>$1.840.000</t>
  </si>
  <si>
    <t>$1.860.000</t>
  </si>
  <si>
    <t>$1.855.000</t>
  </si>
  <si>
    <t>$1.857.005</t>
  </si>
  <si>
    <t>Lavadora LG 16 kg carga superior</t>
  </si>
  <si>
    <t>$1.439.050</t>
  </si>
  <si>
    <t>$1.420.000</t>
  </si>
  <si>
    <t>$1.450.000</t>
  </si>
  <si>
    <t>$1.435.000</t>
  </si>
  <si>
    <t>$1.445.000</t>
  </si>
  <si>
    <t>$1.440.000</t>
  </si>
  <si>
    <t>$1.438.333</t>
  </si>
  <si>
    <t>Olla a presión Kalley 6 L</t>
  </si>
  <si>
    <t>Freidora de aire Imusa Max 5 L</t>
  </si>
  <si>
    <t>Llanta Goodyear 185/65R14</t>
  </si>
  <si>
    <t>Nevera LG No Frost 374 L</t>
  </si>
  <si>
    <t>$4.499.900</t>
  </si>
  <si>
    <t>$4.480.000</t>
  </si>
  <si>
    <t>$4.520.000</t>
  </si>
  <si>
    <t>$4.490.000</t>
  </si>
  <si>
    <t>$4.510.000</t>
  </si>
  <si>
    <t>$4.505.000</t>
  </si>
  <si>
    <t>$4.500.800</t>
  </si>
  <si>
    <t>Nevecón LG InstaView 635 L</t>
  </si>
  <si>
    <t>$14.799.900</t>
  </si>
  <si>
    <t>$14.750.000</t>
  </si>
  <si>
    <t>$14.820.000</t>
  </si>
  <si>
    <t>$14.780.000</t>
  </si>
  <si>
    <t>$14.810.000</t>
  </si>
  <si>
    <t>$14.805.000</t>
  </si>
  <si>
    <t>$14.790.800</t>
  </si>
  <si>
    <t>Nevera Haceb No Frost 294 L</t>
  </si>
  <si>
    <t>$1.659.050</t>
  </si>
  <si>
    <t>$1.640.000</t>
  </si>
  <si>
    <t>$1.670.000</t>
  </si>
  <si>
    <t>$1.655.000</t>
  </si>
  <si>
    <t>$1.665.000</t>
  </si>
  <si>
    <t>$1.660.000</t>
  </si>
  <si>
    <t>$1.658.333</t>
  </si>
  <si>
    <t>Nevecón Samsung Side by Side 583 L</t>
  </si>
  <si>
    <t>$3.749.050</t>
  </si>
  <si>
    <t>$3.730.000</t>
  </si>
  <si>
    <t>$3.760.000</t>
  </si>
  <si>
    <t>$3.745.000</t>
  </si>
  <si>
    <t>$3.755.000</t>
  </si>
  <si>
    <t>$3.750.000</t>
  </si>
  <si>
    <t>$3.749.167</t>
  </si>
  <si>
    <t>Nevera Mabe No Frost 394 L</t>
  </si>
  <si>
    <t>$2.819.900</t>
  </si>
  <si>
    <t>$2.800.000</t>
  </si>
  <si>
    <t>$2.840.000</t>
  </si>
  <si>
    <t>$2.815.000</t>
  </si>
  <si>
    <t>$2.830.000</t>
  </si>
  <si>
    <t>$2.825.000</t>
  </si>
  <si>
    <t>$2.823.483</t>
  </si>
  <si>
    <t>Nevecón Whirlpool Xpert 518 L</t>
  </si>
  <si>
    <t>$5.829.900</t>
  </si>
  <si>
    <t>$5.800.000</t>
  </si>
  <si>
    <t>$5.860.000</t>
  </si>
  <si>
    <t>$5.825.000</t>
  </si>
  <si>
    <t>$5.845.000</t>
  </si>
  <si>
    <t>5.830.000</t>
  </si>
  <si>
    <t>$5.828.650</t>
  </si>
  <si>
    <t>TIEMPO DE ENTREGA (DÍAS)</t>
  </si>
  <si>
    <r>
      <rPr>
        <rFont val="Arial"/>
        <b/>
        <color rgb="FF000000"/>
        <sz val="14.0"/>
      </rPr>
      <t xml:space="preserve">Proveedor 1: </t>
    </r>
    <r>
      <rPr>
        <rFont val="Arial"/>
        <b val="0"/>
        <color rgb="FF000000"/>
        <sz val="14.0"/>
      </rPr>
      <t>5-7 días</t>
    </r>
  </si>
  <si>
    <r>
      <rPr>
        <rFont val="Arial"/>
        <b/>
        <color rgb="FF000000"/>
        <sz val="14.0"/>
      </rPr>
      <t>Proveedor 2:</t>
    </r>
    <r>
      <rPr>
        <rFont val="Arial"/>
        <b val="0"/>
        <color rgb="FF000000"/>
        <sz val="14.0"/>
      </rPr>
      <t xml:space="preserve"> 3-5 días </t>
    </r>
    <r>
      <rPr>
        <rFont val="Arial"/>
        <b/>
        <color rgb="FF000000"/>
        <sz val="14.0"/>
      </rPr>
      <t>⭐</t>
    </r>
  </si>
  <si>
    <r>
      <rPr>
        <rFont val="Arial"/>
        <b/>
        <color rgb="FF000000"/>
        <sz val="14.0"/>
      </rPr>
      <t xml:space="preserve">Proveedor 3: </t>
    </r>
    <r>
      <rPr>
        <rFont val="Arial"/>
        <b val="0"/>
        <color rgb="FF000000"/>
        <sz val="14.0"/>
      </rPr>
      <t>7-10 días</t>
    </r>
  </si>
  <si>
    <r>
      <rPr>
        <rFont val="Arial"/>
        <b/>
        <color rgb="FF000000"/>
        <sz val="14.0"/>
      </rPr>
      <t xml:space="preserve">Proveedor 4: </t>
    </r>
    <r>
      <rPr>
        <rFont val="Arial"/>
        <b val="0"/>
        <color rgb="FF000000"/>
        <sz val="14.0"/>
      </rPr>
      <t>4-6 días</t>
    </r>
  </si>
  <si>
    <r>
      <rPr>
        <rFont val="Arial"/>
        <b/>
        <color rgb="FF000000"/>
        <sz val="14.0"/>
      </rPr>
      <t xml:space="preserve">Proveedor 5: </t>
    </r>
    <r>
      <rPr>
        <rFont val="Arial"/>
        <b val="0"/>
        <color rgb="FF000000"/>
        <sz val="14.0"/>
      </rPr>
      <t>5-8 días</t>
    </r>
  </si>
  <si>
    <r>
      <rPr>
        <rFont val="Arial"/>
        <b/>
        <color rgb="FF000000"/>
        <sz val="14.0"/>
      </rPr>
      <t xml:space="preserve">Proveedor 6: </t>
    </r>
    <r>
      <rPr>
        <rFont val="Arial"/>
        <b val="0"/>
        <color rgb="FF000000"/>
        <sz val="14.0"/>
      </rPr>
      <t>6-8 días</t>
    </r>
  </si>
  <si>
    <t>$35.000 ⭐</t>
  </si>
  <si>
    <t>Transferencia, Efectivo, Tarjeta de crédito</t>
  </si>
  <si>
    <t>Transferencia, Efectivo ⭐</t>
  </si>
  <si>
    <t>Transferencia, Efectivo, Tarjeta</t>
  </si>
  <si>
    <t>Transferencia, Crédito 15 días</t>
  </si>
  <si>
    <t>Transferencia, Efectivo, Crédito 30 días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</si>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</sst>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\ #,##0.00"/>
    <numFmt numFmtId="165" formatCode="&quot;$&quot;#,##0.00_);[Red]\(&quot;$&quot;#,##0.00\)"/>
    <numFmt numFmtId="166" formatCode="&quot;$&quot;\ #,##0.00;[Red]\-&quot;$&quot;\ #,##0.00"/>
    <numFmt numFmtId="167" formatCode="&quot;$&quot;#,##0.00;[Red]\-&quot;$&quot;#,##0.00"/>
  </numFmts>
  <fonts count="30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rgb="FF000000"/>
      <name val="Arial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4.0"/>
      <color rgb="FF595959"/>
      <name val="Arial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  <font>
      <sz val="2.0"/>
      <color theme="1"/>
      <name val="Calibri"/>
    </font>
    <font>
      <sz val="14.0"/>
      <color theme="1"/>
      <name val="Arial"/>
    </font>
    <font>
      <b/>
      <sz val="14.0"/>
      <color rgb="FF000000"/>
      <name val="Arial"/>
    </font>
    <font>
      <sz val="12.0"/>
      <color rgb="FF00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12.0"/>
      <color rgb="FF000000"/>
      <name val="Arial"/>
    </font>
    <font>
      <sz val="8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9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rgb="FF8745EC"/>
      </right>
      <top style="thin">
        <color theme="0"/>
      </top>
      <bottom/>
    </border>
    <border>
      <top style="dotted">
        <color rgb="FFF2F2F2"/>
      </top>
      <bottom style="medium">
        <color rgb="FFF2F2F2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0" fillId="0" fontId="10" numFmtId="0" xfId="0" applyAlignment="1" applyFont="1">
      <alignment shrinkToFit="0" wrapText="1"/>
    </xf>
    <xf borderId="10" fillId="4" fontId="11" numFmtId="2" xfId="0" applyAlignment="1" applyBorder="1" applyFont="1" applyNumberFormat="1">
      <alignment horizontal="center" vertical="center"/>
    </xf>
    <xf borderId="10" fillId="3" fontId="11" numFmtId="164" xfId="0" applyAlignment="1" applyBorder="1" applyFont="1" applyNumberFormat="1">
      <alignment horizontal="center" vertical="center"/>
    </xf>
    <xf borderId="10" fillId="4" fontId="11" numFmtId="164" xfId="0" applyAlignment="1" applyBorder="1" applyFont="1" applyNumberFormat="1">
      <alignment horizontal="center" vertical="center"/>
    </xf>
    <xf borderId="1" fillId="4" fontId="12" numFmtId="164" xfId="0" applyAlignment="1" applyBorder="1" applyFont="1" applyNumberFormat="1">
      <alignment horizontal="center" vertical="center"/>
    </xf>
    <xf borderId="11" fillId="5" fontId="13" numFmtId="164" xfId="0" applyAlignment="1" applyBorder="1" applyFill="1" applyFont="1" applyNumberFormat="1">
      <alignment horizontal="center"/>
    </xf>
    <xf borderId="8" fillId="5" fontId="13" numFmtId="164" xfId="0" applyAlignment="1" applyBorder="1" applyFont="1" applyNumberFormat="1">
      <alignment horizontal="center"/>
    </xf>
    <xf borderId="9" fillId="5" fontId="13" numFmtId="164" xfId="0" applyAlignment="1" applyBorder="1" applyFont="1" applyNumberFormat="1">
      <alignment horizontal="center" shrinkToFit="0" wrapText="1"/>
    </xf>
    <xf borderId="12" fillId="0" fontId="14" numFmtId="164" xfId="0" applyAlignment="1" applyBorder="1" applyFont="1" applyNumberFormat="1">
      <alignment horizontal="center" shrinkToFit="0" vertical="center" wrapText="1"/>
    </xf>
    <xf borderId="12" fillId="0" fontId="11" numFmtId="2" xfId="0" applyAlignment="1" applyBorder="1" applyFont="1" applyNumberFormat="1">
      <alignment horizontal="center" vertical="center"/>
    </xf>
    <xf borderId="12" fillId="0" fontId="11" numFmtId="164" xfId="0" applyAlignment="1" applyBorder="1" applyFont="1" applyNumberFormat="1">
      <alignment horizontal="center" vertical="center"/>
    </xf>
    <xf borderId="7" fillId="5" fontId="13" numFmtId="164" xfId="0" applyAlignment="1" applyBorder="1" applyFont="1" applyNumberFormat="1">
      <alignment horizontal="center"/>
    </xf>
    <xf borderId="9" fillId="5" fontId="13" numFmtId="164" xfId="0" applyAlignment="1" applyBorder="1" applyFont="1" applyNumberFormat="1">
      <alignment horizontal="center"/>
    </xf>
    <xf borderId="12" fillId="0" fontId="11" numFmtId="164" xfId="0" applyAlignment="1" applyBorder="1" applyFont="1" applyNumberFormat="1">
      <alignment horizontal="center" shrinkToFit="0" vertical="center" wrapText="1"/>
    </xf>
    <xf borderId="0" fillId="0" fontId="15" numFmtId="0" xfId="0" applyFont="1"/>
    <xf borderId="13" fillId="5" fontId="13" numFmtId="164" xfId="0" applyAlignment="1" applyBorder="1" applyFont="1" applyNumberFormat="1">
      <alignment horizontal="center"/>
    </xf>
    <xf borderId="14" fillId="5" fontId="13" numFmtId="164" xfId="0" applyAlignment="1" applyBorder="1" applyFont="1" applyNumberFormat="1">
      <alignment horizontal="center" shrinkToFit="0" wrapText="1"/>
    </xf>
    <xf borderId="15" fillId="5" fontId="13" numFmtId="164" xfId="0" applyAlignment="1" applyBorder="1" applyFont="1" applyNumberFormat="1">
      <alignment horizontal="center" shrinkToFit="0" wrapText="1"/>
    </xf>
    <xf borderId="16" fillId="0" fontId="14" numFmtId="164" xfId="0" applyAlignment="1" applyBorder="1" applyFont="1" applyNumberFormat="1">
      <alignment horizontal="center" shrinkToFit="0" vertical="center" wrapText="1"/>
    </xf>
    <xf borderId="16" fillId="0" fontId="11" numFmtId="2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horizontal="center" vertical="center"/>
    </xf>
    <xf borderId="8" fillId="5" fontId="13" numFmtId="164" xfId="0" applyAlignment="1" applyBorder="1" applyFont="1" applyNumberFormat="1">
      <alignment horizontal="center" shrinkToFit="0" wrapText="1"/>
    </xf>
    <xf borderId="16" fillId="0" fontId="11" numFmtId="164" xfId="0" applyAlignment="1" applyBorder="1" applyFont="1" applyNumberFormat="1">
      <alignment horizontal="center" shrinkToFit="0" vertical="center" wrapText="1"/>
    </xf>
    <xf borderId="10" fillId="3" fontId="11" numFmtId="2" xfId="0" applyAlignment="1" applyBorder="1" applyFont="1" applyNumberFormat="1">
      <alignment horizontal="center" vertical="center"/>
    </xf>
    <xf borderId="1" fillId="3" fontId="11" numFmtId="164" xfId="0" applyAlignment="1" applyBorder="1" applyFont="1" applyNumberFormat="1">
      <alignment horizontal="center" vertical="center"/>
    </xf>
    <xf borderId="1" fillId="3" fontId="11" numFmtId="164" xfId="0" applyAlignment="1" applyBorder="1" applyFont="1" applyNumberFormat="1">
      <alignment horizontal="center"/>
    </xf>
    <xf borderId="13" fillId="5" fontId="13" numFmtId="164" xfId="0" applyAlignment="1" applyBorder="1" applyFont="1" applyNumberFormat="1">
      <alignment horizontal="center" shrinkToFit="0" wrapText="1"/>
    </xf>
    <xf borderId="1" fillId="5" fontId="12" numFmtId="0" xfId="0" applyAlignment="1" applyBorder="1" applyFont="1">
      <alignment horizontal="center" vertical="center"/>
    </xf>
    <xf borderId="10" fillId="5" fontId="12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17" fillId="3" fontId="4" numFmtId="0" xfId="0" applyBorder="1" applyFont="1"/>
    <xf borderId="18" fillId="2" fontId="7" numFmtId="0" xfId="0" applyAlignment="1" applyBorder="1" applyFont="1">
      <alignment horizontal="center" shrinkToFit="0" vertical="center" wrapText="1"/>
    </xf>
    <xf borderId="19" fillId="0" fontId="8" numFmtId="0" xfId="0" applyBorder="1" applyFont="1"/>
    <xf borderId="20" fillId="0" fontId="9" numFmtId="0" xfId="0" applyAlignment="1" applyBorder="1" applyFont="1">
      <alignment horizontal="left" shrinkToFit="0" vertical="center" wrapText="1"/>
    </xf>
    <xf borderId="20" fillId="0" fontId="15" numFmtId="0" xfId="0" applyBorder="1" applyFont="1"/>
    <xf borderId="18" fillId="4" fontId="9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shrinkToFit="0" wrapText="1"/>
    </xf>
    <xf borderId="20" fillId="0" fontId="11" numFmtId="164" xfId="0" applyAlignment="1" applyBorder="1" applyFont="1" applyNumberFormat="1">
      <alignment horizontal="center" vertical="center"/>
    </xf>
    <xf borderId="20" fillId="0" fontId="17" numFmtId="165" xfId="0" applyBorder="1" applyFont="1" applyNumberFormat="1"/>
    <xf borderId="21" fillId="4" fontId="9" numFmtId="0" xfId="0" applyAlignment="1" applyBorder="1" applyFont="1">
      <alignment horizontal="center" shrinkToFit="0" vertical="center" wrapText="1"/>
    </xf>
    <xf borderId="22" fillId="0" fontId="8" numFmtId="0" xfId="0" applyBorder="1" applyFont="1"/>
    <xf borderId="20" fillId="0" fontId="11" numFmtId="164" xfId="0" applyAlignment="1" applyBorder="1" applyFont="1" applyNumberFormat="1">
      <alignment horizontal="center" shrinkToFit="0" vertical="center" wrapText="1"/>
    </xf>
    <xf borderId="23" fillId="0" fontId="8" numFmtId="0" xfId="0" applyBorder="1" applyFont="1"/>
    <xf borderId="24" fillId="0" fontId="8" numFmtId="0" xfId="0" applyBorder="1" applyFont="1"/>
    <xf borderId="25" fillId="3" fontId="4" numFmtId="0" xfId="0" applyBorder="1" applyFont="1"/>
    <xf borderId="20" fillId="0" fontId="12" numFmtId="4" xfId="0" applyAlignment="1" applyBorder="1" applyFont="1" applyNumberFormat="1">
      <alignment horizontal="center" vertical="center"/>
    </xf>
    <xf borderId="20" fillId="0" fontId="12" numFmtId="4" xfId="0" applyAlignment="1" applyBorder="1" applyFont="1" applyNumberFormat="1">
      <alignment horizontal="center" shrinkToFit="0" vertical="center" wrapText="1"/>
    </xf>
    <xf borderId="26" fillId="0" fontId="8" numFmtId="0" xfId="0" applyBorder="1" applyFont="1"/>
    <xf borderId="27" fillId="0" fontId="8" numFmtId="0" xfId="0" applyBorder="1" applyFont="1"/>
    <xf borderId="20" fillId="0" fontId="18" numFmtId="0" xfId="0" applyAlignment="1" applyBorder="1" applyFont="1">
      <alignment shrinkToFit="0" wrapText="1"/>
    </xf>
    <xf borderId="20" fillId="3" fontId="4" numFmtId="0" xfId="0" applyBorder="1" applyFont="1"/>
    <xf borderId="28" fillId="3" fontId="4" numFmtId="0" xfId="0" applyBorder="1" applyFont="1"/>
    <xf borderId="0" fillId="0" fontId="19" numFmtId="166" xfId="0" applyAlignment="1" applyFont="1" applyNumberFormat="1">
      <alignment shrinkToFit="0" vertical="center" wrapText="1"/>
    </xf>
    <xf borderId="0" fillId="0" fontId="20" numFmtId="166" xfId="0" applyAlignment="1" applyFont="1" applyNumberFormat="1">
      <alignment shrinkToFit="0" vertical="center" wrapText="1"/>
    </xf>
    <xf borderId="1" fillId="3" fontId="21" numFmtId="0" xfId="0" applyBorder="1" applyFont="1"/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right" shrinkToFit="0" vertical="center" wrapText="1"/>
    </xf>
    <xf borderId="0" fillId="0" fontId="22" numFmtId="167" xfId="0" applyAlignment="1" applyFont="1" applyNumberFormat="1">
      <alignment horizontal="center" shrinkToFit="0" vertical="center" wrapText="1"/>
    </xf>
    <xf borderId="0" fillId="0" fontId="22" numFmtId="167" xfId="0" applyAlignment="1" applyFont="1" applyNumberFormat="1">
      <alignment horizontal="right" shrinkToFit="0" vertical="center" wrapText="1"/>
    </xf>
    <xf borderId="20" fillId="0" fontId="23" numFmtId="0" xfId="0" applyBorder="1" applyFont="1"/>
    <xf borderId="20" fillId="0" fontId="23" numFmtId="0" xfId="0" applyAlignment="1" applyBorder="1" applyFont="1">
      <alignment shrinkToFit="0" wrapText="1"/>
    </xf>
    <xf borderId="20" fillId="0" fontId="2" numFmtId="165" xfId="0" applyBorder="1" applyFont="1" applyNumberFormat="1"/>
    <xf borderId="20" fillId="0" fontId="24" numFmtId="0" xfId="0" applyBorder="1" applyFont="1"/>
    <xf borderId="20" fillId="0" fontId="25" numFmtId="165" xfId="0" applyBorder="1" applyFont="1" applyNumberFormat="1"/>
    <xf borderId="20" fillId="0" fontId="26" numFmtId="0" xfId="0" applyBorder="1" applyFont="1"/>
    <xf borderId="20" fillId="0" fontId="25" numFmtId="0" xfId="0" applyBorder="1" applyFont="1"/>
    <xf borderId="20" fillId="0" fontId="24" numFmtId="0" xfId="0" applyAlignment="1" applyBorder="1" applyFont="1">
      <alignment shrinkToFit="0" wrapText="1"/>
    </xf>
    <xf borderId="20" fillId="0" fontId="27" numFmtId="0" xfId="0" applyBorder="1" applyFont="1"/>
    <xf borderId="20" fillId="0" fontId="28" numFmtId="0" xfId="0" applyBorder="1" applyFont="1"/>
    <xf borderId="20" fillId="0" fontId="29" numFmtId="0" xfId="0" applyBorder="1" applyFont="1"/>
    <xf borderId="0" fillId="0" fontId="25" numFmtId="0" xfId="0" applyFont="1"/>
    <xf borderId="16" fillId="0" fontId="11" numFmtId="164" xfId="0" applyAlignment="1" applyBorder="1" applyFont="1" applyNumberFormat="1">
      <alignment horizontal="center" vertical="center"/>
    </xf>
    <xf borderId="16" fillId="0" fontId="11" numFmtId="2" xfId="0" applyAlignment="1" applyBorder="1" applyFont="1" applyNumberFormat="1">
      <alignment horizontal="center" vertical="center"/>
    </xf>
    <xf borderId="29" fillId="0" fontId="11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vertical="center"/>
    </xf>
    <xf borderId="29" fillId="0" fontId="11" numFmtId="164" xfId="0" applyAlignment="1" applyBorder="1" applyFont="1" applyNumberFormat="1">
      <alignment horizontal="center" vertical="center"/>
    </xf>
    <xf borderId="30" fillId="0" fontId="11" numFmtId="164" xfId="0" applyAlignment="1" applyBorder="1" applyFont="1" applyNumberFormat="1">
      <alignment horizontal="center" vertical="center"/>
    </xf>
    <xf borderId="31" fillId="0" fontId="11" numFmtId="164" xfId="0" applyAlignment="1" applyBorder="1" applyFont="1" applyNumberFormat="1">
      <alignment horizontal="center" vertical="center"/>
    </xf>
    <xf borderId="32" fillId="0" fontId="11" numFmtId="164" xfId="0" applyAlignment="1" applyBorder="1" applyFont="1" applyNumberFormat="1">
      <alignment horizontal="center" vertical="center"/>
    </xf>
    <xf borderId="33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vertical="center"/>
    </xf>
    <xf borderId="33" fillId="0" fontId="12" numFmtId="4" xfId="0" applyAlignment="1" applyBorder="1" applyFont="1" applyNumberFormat="1">
      <alignment horizontal="center" vertical="center"/>
    </xf>
    <xf borderId="34" fillId="0" fontId="12" numFmtId="4" xfId="0" applyAlignment="1" applyBorder="1" applyFont="1" applyNumberFormat="1">
      <alignment horizontal="center" vertical="center"/>
    </xf>
    <xf borderId="35" fillId="0" fontId="11" numFmtId="0" xfId="0" applyAlignment="1" applyBorder="1" applyFont="1">
      <alignment horizontal="center" vertical="center"/>
    </xf>
    <xf borderId="36" fillId="0" fontId="11" numFmtId="0" xfId="0" applyAlignment="1" applyBorder="1" applyFont="1">
      <alignment horizontal="center" vertical="center"/>
    </xf>
    <xf borderId="0" fillId="0" fontId="19" numFmtId="0" xfId="0" applyFont="1"/>
    <xf borderId="37" fillId="6" fontId="20" numFmtId="166" xfId="0" applyAlignment="1" applyBorder="1" applyFill="1" applyFont="1" applyNumberFormat="1">
      <alignment shrinkToFit="0" vertical="center" wrapText="1"/>
    </xf>
    <xf borderId="38" fillId="6" fontId="20" numFmtId="166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4" pivot="0" name="Precios -style">
      <tableStyleElement dxfId="3" type="headerRow"/>
      <tableStyleElement dxfId="4" type="firstRowStripe"/>
      <tableStyleElement dxfId="4" type="secondRowStripe"/>
      <tableStyleElement dxfId="5" type="totalRow"/>
    </tableStyle>
    <tableStyle count="4" pivot="0" name="Precios  (2)-style">
      <tableStyleElement dxfId="3" type="headerRow"/>
      <tableStyleElement dxfId="4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142875</xdr:rowOff>
    </xdr:from>
    <xdr:ext cx="8010525" cy="6124575"/>
    <xdr:sp>
      <xdr:nvSpPr>
        <xdr:cNvPr id="3" name="Shape 3"/>
        <xdr:cNvSpPr txBox="1"/>
      </xdr:nvSpPr>
      <xdr:spPr>
        <a:xfrm>
          <a:off x="1340738" y="722475"/>
          <a:ext cx="8010525" cy="6115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76200</xdr:colOff>
      <xdr:row>0</xdr:row>
      <xdr:rowOff>104775</xdr:rowOff>
    </xdr:from>
    <xdr:ext cx="6610350" cy="752475"/>
    <xdr:sp>
      <xdr:nvSpPr>
        <xdr:cNvPr id="4" name="Shape 4"/>
        <xdr:cNvSpPr txBox="1"/>
      </xdr:nvSpPr>
      <xdr:spPr>
        <a:xfrm>
          <a:off x="2045588" y="3408525"/>
          <a:ext cx="66008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419100</xdr:colOff>
      <xdr:row>0</xdr:row>
      <xdr:rowOff>104775</xdr:rowOff>
    </xdr:from>
    <xdr:ext cx="2000250" cy="752475"/>
    <xdr:sp>
      <xdr:nvSpPr>
        <xdr:cNvPr id="5" name="Shape 5"/>
        <xdr:cNvSpPr txBox="1"/>
      </xdr:nvSpPr>
      <xdr:spPr>
        <a:xfrm>
          <a:off x="4350638" y="3408525"/>
          <a:ext cx="19907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77150" cy="742950"/>
    <xdr:sp>
      <xdr:nvSpPr>
        <xdr:cNvPr id="6" name="Shape 6"/>
        <xdr:cNvSpPr txBox="1"/>
      </xdr:nvSpPr>
      <xdr:spPr>
        <a:xfrm>
          <a:off x="1512188" y="3413288"/>
          <a:ext cx="7667625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876300</xdr:colOff>
      <xdr:row>1</xdr:row>
      <xdr:rowOff>142875</xdr:rowOff>
    </xdr:from>
    <xdr:ext cx="3019425" cy="466725"/>
    <xdr:sp>
      <xdr:nvSpPr>
        <xdr:cNvPr id="7" name="Shape 7"/>
        <xdr:cNvSpPr txBox="1"/>
      </xdr:nvSpPr>
      <xdr:spPr>
        <a:xfrm>
          <a:off x="3841050" y="3551400"/>
          <a:ext cx="300990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86675" cy="742950"/>
    <xdr:sp>
      <xdr:nvSpPr>
        <xdr:cNvPr id="8" name="Shape 8"/>
        <xdr:cNvSpPr txBox="1"/>
      </xdr:nvSpPr>
      <xdr:spPr>
        <a:xfrm>
          <a:off x="1507425" y="3413288"/>
          <a:ext cx="7677150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333375</xdr:colOff>
      <xdr:row>1</xdr:row>
      <xdr:rowOff>142875</xdr:rowOff>
    </xdr:from>
    <xdr:ext cx="3000375" cy="466725"/>
    <xdr:sp>
      <xdr:nvSpPr>
        <xdr:cNvPr id="9" name="Shape 9"/>
        <xdr:cNvSpPr txBox="1"/>
      </xdr:nvSpPr>
      <xdr:spPr>
        <a:xfrm>
          <a:off x="3850575" y="3551400"/>
          <a:ext cx="299085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ised/Downloads/MATRIZ/Cuadro-de-Cotizacion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Teclado Admin"/>
      <sheetName val="Mause Admin"/>
      <sheetName val="Portatil Nosotros"/>
      <sheetName val="Monitor Nosotros"/>
      <sheetName val=" Disco mecanico Nosotros"/>
      <sheetName val=" Servidor Nosotros"/>
      <sheetName val=" ram nosotros"/>
      <sheetName val="Tarjeta de video nosotros"/>
      <sheetName val="Procesador Nosotros"/>
      <sheetName val="Teclado nosostros "/>
      <sheetName val="Muse nosotros"/>
      <sheetName val="software licencia"/>
      <sheetName val="licencia visual"/>
      <sheetName val="windows 11 licencia"/>
      <sheetName val="licencia SQ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totalsRowCount="1" ref="B8:L26" displayName="Table_1" name="Table_1" id="1">
  <tableColumns count="11">
    <tableColumn totalsRowLabel="Total" name="PRODUCTO" id="1"/>
    <tableColumn name="CANTIDAD" id="2"/>
    <tableColumn totalsRowFunction="custom" name="PROVEEDOR 1 (ALKOSTO)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ables/table2.xml><?xml version="1.0" encoding="utf-8"?>
<table xmlns="http://schemas.openxmlformats.org/spreadsheetml/2006/main" totalsRowCount="1" ref="B8:L25" displayName="Table_2" name="Table_2" id="2">
  <tableColumns count="11">
    <tableColumn totalsRowLabel="Total" name="PRODUCTO" id="1"/>
    <tableColumn name="CANTIDAD" id="2"/>
    <tableColumn totalsRowFunction="custom" name="PROVEEDOR 1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6" width="37.33"/>
    <col customWidth="1" min="7" max="7" width="32.5"/>
    <col customWidth="1" min="8" max="8" width="37.33"/>
    <col customWidth="1" min="9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4.0" customHeight="1">
      <c r="A9" s="18"/>
      <c r="B9" s="19" t="s">
        <v>15</v>
      </c>
      <c r="C9" s="20">
        <v>1.0</v>
      </c>
      <c r="D9" s="21">
        <v>1599050.0</v>
      </c>
      <c r="E9" s="22">
        <v>1630000.0</v>
      </c>
      <c r="F9" s="22">
        <v>1590000.0</v>
      </c>
      <c r="G9" s="22"/>
      <c r="H9" s="22"/>
      <c r="I9" s="23"/>
      <c r="J9" s="24">
        <v>1590000.0</v>
      </c>
      <c r="K9" s="25">
        <v>1606350.0</v>
      </c>
      <c r="L9" s="26">
        <v>1630000.0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3.0" customHeight="1">
      <c r="A10" s="18"/>
      <c r="B10" s="27" t="s">
        <v>16</v>
      </c>
      <c r="C10" s="28">
        <v>1.0</v>
      </c>
      <c r="D10" s="29">
        <v>3199030.0</v>
      </c>
      <c r="E10" s="29">
        <v>3250000.0</v>
      </c>
      <c r="F10" s="29">
        <v>3300000.0</v>
      </c>
      <c r="G10" s="29"/>
      <c r="H10" s="29"/>
      <c r="I10" s="29"/>
      <c r="J10" s="30">
        <v>3199030.0</v>
      </c>
      <c r="K10" s="25">
        <v>3249677.0</v>
      </c>
      <c r="L10" s="31">
        <v>3300000.0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0.0" customHeight="1">
      <c r="A11" s="18"/>
      <c r="B11" s="27" t="s">
        <v>17</v>
      </c>
      <c r="C11" s="28">
        <v>1.0</v>
      </c>
      <c r="D11" s="32">
        <v>2399030.0</v>
      </c>
      <c r="E11" s="29">
        <v>2450000.0</v>
      </c>
      <c r="F11" s="29" t="s">
        <v>18</v>
      </c>
      <c r="G11" s="29"/>
      <c r="H11" s="29"/>
      <c r="I11" s="29"/>
      <c r="J11" s="30">
        <v>2380000.0</v>
      </c>
      <c r="K11" s="25">
        <v>2409677.0</v>
      </c>
      <c r="L11" s="31">
        <v>2450000.0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8"/>
      <c r="B12" s="27" t="s">
        <v>19</v>
      </c>
      <c r="C12" s="28">
        <v>1.0</v>
      </c>
      <c r="D12" s="29" t="s">
        <v>20</v>
      </c>
      <c r="E12" s="29">
        <v>1810000.0</v>
      </c>
      <c r="F12" s="29">
        <v>1790000.0</v>
      </c>
      <c r="G12" s="29"/>
      <c r="H12" s="29"/>
      <c r="I12" s="29"/>
      <c r="J12" s="30">
        <f>MIN('Precios '!$D12:$I12)</f>
        <v>1790000</v>
      </c>
      <c r="K12" s="25">
        <f>IFERROR(AVERAGE('Precios '!$D12:$I12),0)</f>
        <v>1800000</v>
      </c>
      <c r="L12" s="31">
        <f>MAX('Precios '!$D12:$I12)</f>
        <v>1810000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8"/>
      <c r="B13" s="27" t="s">
        <v>21</v>
      </c>
      <c r="C13" s="28">
        <v>1.0</v>
      </c>
      <c r="D13" s="29">
        <v>299900.0</v>
      </c>
      <c r="E13" s="29">
        <v>315000.0</v>
      </c>
      <c r="F13" s="29">
        <v>305000.0</v>
      </c>
      <c r="G13" s="29"/>
      <c r="H13" s="29"/>
      <c r="I13" s="29"/>
      <c r="J13" s="30">
        <v>299900.0</v>
      </c>
      <c r="K13" s="25">
        <v>306633.0</v>
      </c>
      <c r="L13" s="26" t="s">
        <v>22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65.0" customHeight="1">
      <c r="A14" s="18"/>
      <c r="B14" s="27" t="s">
        <v>23</v>
      </c>
      <c r="C14" s="28">
        <v>1.0</v>
      </c>
      <c r="D14" s="29">
        <v>399900.0</v>
      </c>
      <c r="E14" s="29" t="s">
        <v>24</v>
      </c>
      <c r="F14" s="29" t="s">
        <v>25</v>
      </c>
      <c r="G14" s="29"/>
      <c r="H14" s="29"/>
      <c r="I14" s="29"/>
      <c r="J14" s="30" t="s">
        <v>26</v>
      </c>
      <c r="K14" s="25">
        <v>398300.0</v>
      </c>
      <c r="L14" s="26" t="s">
        <v>24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33"/>
      <c r="B15" s="27" t="s">
        <v>27</v>
      </c>
      <c r="C15" s="28">
        <v>1.0</v>
      </c>
      <c r="D15" s="29" t="s">
        <v>28</v>
      </c>
      <c r="E15" s="29" t="s">
        <v>29</v>
      </c>
      <c r="F15" s="29" t="s">
        <v>30</v>
      </c>
      <c r="G15" s="29"/>
      <c r="H15" s="29"/>
      <c r="I15" s="29"/>
      <c r="J15" s="34">
        <v>331200.0</v>
      </c>
      <c r="K15" s="35" t="s">
        <v>31</v>
      </c>
      <c r="L15" s="36" t="s">
        <v>32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>
      <c r="A16" s="33"/>
      <c r="B16" s="37" t="s">
        <v>33</v>
      </c>
      <c r="C16" s="38">
        <v>1.0</v>
      </c>
      <c r="D16" s="39">
        <v>259900.0</v>
      </c>
      <c r="E16" s="39">
        <v>269900.0</v>
      </c>
      <c r="F16" s="39">
        <v>275000.0</v>
      </c>
      <c r="G16" s="39"/>
      <c r="H16" s="39"/>
      <c r="I16" s="39"/>
      <c r="J16" s="34" t="s">
        <v>34</v>
      </c>
      <c r="K16" s="40" t="s">
        <v>35</v>
      </c>
      <c r="L16" s="26" t="s">
        <v>36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>
      <c r="A17" s="33"/>
      <c r="B17" s="37" t="s">
        <v>37</v>
      </c>
      <c r="C17" s="38">
        <v>1.0</v>
      </c>
      <c r="D17" s="39">
        <v>2639900.0</v>
      </c>
      <c r="E17" s="39">
        <v>2700000.0</v>
      </c>
      <c r="F17" s="39">
        <v>2650000.0</v>
      </c>
      <c r="G17" s="39"/>
      <c r="H17" s="39"/>
      <c r="I17" s="39"/>
      <c r="J17" s="34">
        <v>2639900.0</v>
      </c>
      <c r="K17" s="25">
        <f>IFERROR(AVERAGE('Precios '!$D17:$I17),0)</f>
        <v>2663300</v>
      </c>
      <c r="L17" s="31">
        <f>MAX('Precios '!$D17:$I17)</f>
        <v>2700000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>
      <c r="A18" s="33"/>
      <c r="B18" s="37" t="s">
        <v>38</v>
      </c>
      <c r="C18" s="38">
        <v>1.0</v>
      </c>
      <c r="D18" s="39" t="s">
        <v>39</v>
      </c>
      <c r="E18" s="39" t="s">
        <v>40</v>
      </c>
      <c r="F18" s="41">
        <v>380000.0</v>
      </c>
      <c r="G18" s="39"/>
      <c r="H18" s="39"/>
      <c r="I18" s="39"/>
      <c r="J18" s="34">
        <v>376195.0</v>
      </c>
      <c r="K18" s="35" t="s">
        <v>41</v>
      </c>
      <c r="L18" s="36" t="s">
        <v>42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2.75" customHeight="1">
      <c r="A19" s="33"/>
      <c r="B19" s="21"/>
      <c r="C19" s="42"/>
      <c r="D19" s="43"/>
      <c r="E19" s="43"/>
      <c r="F19" s="43"/>
      <c r="G19" s="43"/>
      <c r="H19" s="21"/>
      <c r="I19" s="44"/>
      <c r="J19" s="45"/>
      <c r="K19" s="25">
        <f>IFERROR(AVERAGE('Precios '!$D19:$I19),0)</f>
        <v>0</v>
      </c>
      <c r="L19" s="31">
        <f>MAX('Precios '!$D19:$I19)</f>
        <v>0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2.75" customHeight="1">
      <c r="A20" s="33"/>
      <c r="B20" s="21"/>
      <c r="C20" s="42"/>
      <c r="D20" s="43"/>
      <c r="E20" s="43"/>
      <c r="F20" s="43"/>
      <c r="G20" s="43"/>
      <c r="H20" s="21"/>
      <c r="I20" s="44"/>
      <c r="J20" s="34">
        <f>MIN('Precios '!$D20:$I20)</f>
        <v>0</v>
      </c>
      <c r="K20" s="25">
        <f>IFERROR(AVERAGE('Precios '!$D20:$I20),0)</f>
        <v>0</v>
      </c>
      <c r="L20" s="31">
        <f>MAX('Precios '!$D20:$I20)</f>
        <v>0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75" customHeight="1">
      <c r="A21" s="33"/>
      <c r="B21" s="21"/>
      <c r="C21" s="42"/>
      <c r="D21" s="43"/>
      <c r="E21" s="43"/>
      <c r="F21" s="43"/>
      <c r="G21" s="43"/>
      <c r="H21" s="21"/>
      <c r="I21" s="44"/>
      <c r="J21" s="34">
        <f>MIN('Precios '!$D21:$I21)</f>
        <v>0</v>
      </c>
      <c r="K21" s="25">
        <f>IFERROR(AVERAGE('Precios '!$D21:$I21),0)</f>
        <v>0</v>
      </c>
      <c r="L21" s="31">
        <f>MAX('Precios '!$D21:$I21)</f>
        <v>0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>
      <c r="A22" s="33"/>
      <c r="B22" s="21"/>
      <c r="C22" s="42"/>
      <c r="D22" s="43"/>
      <c r="E22" s="43"/>
      <c r="F22" s="43"/>
      <c r="G22" s="43"/>
      <c r="H22" s="21"/>
      <c r="I22" s="44"/>
      <c r="J22" s="34">
        <f>MIN('Precios '!$D22:$I22)</f>
        <v>0</v>
      </c>
      <c r="K22" s="25">
        <f>IFERROR(AVERAGE('Precios '!$D22:$I22),0)</f>
        <v>0</v>
      </c>
      <c r="L22" s="31">
        <f>MAX('Precios '!$D22:$I22)</f>
        <v>0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>
      <c r="A23" s="33"/>
      <c r="B23" s="21"/>
      <c r="C23" s="42"/>
      <c r="D23" s="43"/>
      <c r="E23" s="43"/>
      <c r="F23" s="43"/>
      <c r="G23" s="43"/>
      <c r="H23" s="21"/>
      <c r="I23" s="44"/>
      <c r="J23" s="34">
        <f>MIN('Precios '!$D23:$I23)</f>
        <v>0</v>
      </c>
      <c r="K23" s="25">
        <f>IFERROR(AVERAGE('Precios '!$D23:$I23),0)</f>
        <v>0</v>
      </c>
      <c r="L23" s="31">
        <f>MAX('Precios '!$D23:$I23)</f>
        <v>0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33"/>
      <c r="B24" s="21"/>
      <c r="C24" s="42"/>
      <c r="D24" s="43"/>
      <c r="E24" s="43"/>
      <c r="F24" s="43"/>
      <c r="G24" s="43"/>
      <c r="H24" s="21"/>
      <c r="I24" s="44"/>
      <c r="J24" s="34">
        <f>MIN('Precios '!$D24:$I24)</f>
        <v>0</v>
      </c>
      <c r="K24" s="25">
        <f>IFERROR(AVERAGE('Precios '!$D24:$I24),0)</f>
        <v>0</v>
      </c>
      <c r="L24" s="31">
        <f>MAX('Precios '!$D24:$I24)</f>
        <v>0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3"/>
      <c r="B25" s="21"/>
      <c r="C25" s="42"/>
      <c r="D25" s="43"/>
      <c r="E25" s="43"/>
      <c r="F25" s="43"/>
      <c r="G25" s="43"/>
      <c r="H25" s="21"/>
      <c r="I25" s="44"/>
      <c r="J25" s="34">
        <f>MIN('Precios '!$D25:$I25)</f>
        <v>0</v>
      </c>
      <c r="K25" s="25">
        <f>IFERROR(AVERAGE('Precios '!$D25:$I25),0)</f>
        <v>0</v>
      </c>
      <c r="L25" s="31">
        <f>MAX('Precios '!$D25:$I25)</f>
        <v>0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3"/>
      <c r="B26" s="46" t="s">
        <v>43</v>
      </c>
      <c r="C26" s="46"/>
      <c r="D26" s="47">
        <f>ROUND(SUMPRODUCT('Precios '!$C$9:$C$25,'Precios '!$D$9:$D$25),2)</f>
        <v>10796710</v>
      </c>
      <c r="E26" s="47">
        <f>ROUND(SUMPRODUCT('Precios '!$C$9:$C$25,'Precios '!$E$9:$E$25),2)</f>
        <v>12424900</v>
      </c>
      <c r="F26" s="47">
        <f>ROUND(SUMPRODUCT('Precios '!$C$9:$C$25,'Precios '!$F$9:$F$25),2)</f>
        <v>10290000</v>
      </c>
      <c r="G26" s="47">
        <f>ROUND(SUMPRODUCT('Precios '!$C$9:$C$25,'Precios '!$G$9:$G$25),2)</f>
        <v>0</v>
      </c>
      <c r="H26" s="47">
        <f>ROUND(SUMPRODUCT('Precios '!$C$9:$C$25,'Precios '!$H$9:$H$25),2)</f>
        <v>0</v>
      </c>
      <c r="I26" s="47">
        <f>ROUND(SUMPRODUCT('Precios '!$C$9:$C$25,'Precios '!$I$9:$I$25),2)</f>
        <v>0</v>
      </c>
      <c r="J26" s="48"/>
      <c r="K26" s="48"/>
      <c r="L26" s="49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3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48.0" customHeight="1">
      <c r="A28" s="33"/>
      <c r="B28" s="50"/>
      <c r="C28" s="50"/>
      <c r="D28" s="50"/>
      <c r="E28" s="50"/>
      <c r="F28" s="50"/>
      <c r="G28" s="50"/>
      <c r="H28" s="50"/>
      <c r="I28" s="50"/>
      <c r="J28" s="5"/>
      <c r="K28" s="6"/>
      <c r="L28" s="6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33.0" customHeight="1">
      <c r="A29" s="33"/>
      <c r="B29" s="51" t="s">
        <v>44</v>
      </c>
      <c r="C29" s="52"/>
      <c r="D29" s="53"/>
      <c r="E29" s="53"/>
      <c r="F29" s="53"/>
      <c r="G29" s="53"/>
      <c r="H29" s="53"/>
      <c r="I29" s="54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5.5" customHeight="1">
      <c r="A30" s="33"/>
      <c r="B30" s="55" t="s">
        <v>45</v>
      </c>
      <c r="C30" s="52"/>
      <c r="D30" s="56" t="s">
        <v>46</v>
      </c>
      <c r="E30" s="57" t="s">
        <v>47</v>
      </c>
      <c r="F30" s="57" t="s">
        <v>48</v>
      </c>
      <c r="G30" s="58" t="s">
        <v>49</v>
      </c>
      <c r="H30" s="57" t="s">
        <v>50</v>
      </c>
      <c r="I30" s="57" t="s">
        <v>51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0" customHeight="1">
      <c r="A31" s="33"/>
      <c r="B31" s="55" t="s">
        <v>52</v>
      </c>
      <c r="C31" s="52"/>
      <c r="D31" s="59">
        <v>0.0</v>
      </c>
      <c r="E31" s="60">
        <v>7.055</v>
      </c>
      <c r="F31" s="59" t="s">
        <v>53</v>
      </c>
      <c r="G31" s="57">
        <v>0.0</v>
      </c>
      <c r="H31" s="59" t="s">
        <v>54</v>
      </c>
      <c r="I31" s="59">
        <v>0.0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61" t="s">
        <v>55</v>
      </c>
      <c r="C32" s="62"/>
      <c r="D32" s="59"/>
      <c r="E32" s="63" t="s">
        <v>56</v>
      </c>
      <c r="F32" s="63" t="s">
        <v>57</v>
      </c>
      <c r="G32" s="63" t="s">
        <v>58</v>
      </c>
      <c r="H32" s="59" t="s">
        <v>59</v>
      </c>
      <c r="I32" s="63" t="s">
        <v>60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64"/>
      <c r="C33" s="65"/>
      <c r="D33" s="57"/>
      <c r="E33" s="57"/>
      <c r="F33" s="57"/>
      <c r="G33" s="57"/>
      <c r="H33" s="57"/>
      <c r="I33" s="57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66"/>
      <c r="B34" s="64"/>
      <c r="C34" s="65"/>
      <c r="D34" s="67" t="s">
        <v>61</v>
      </c>
      <c r="E34" s="68" t="s">
        <v>62</v>
      </c>
      <c r="F34" s="68" t="s">
        <v>63</v>
      </c>
      <c r="G34" s="67" t="s">
        <v>61</v>
      </c>
      <c r="H34" s="68" t="s">
        <v>64</v>
      </c>
      <c r="I34" s="68" t="s">
        <v>65</v>
      </c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66"/>
      <c r="B35" s="69"/>
      <c r="C35" s="70"/>
      <c r="D35" s="71"/>
      <c r="E35" s="57"/>
      <c r="F35" s="57"/>
      <c r="G35" s="57"/>
      <c r="H35" s="57"/>
      <c r="I35" s="57"/>
      <c r="J35" s="3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66"/>
      <c r="B36" s="72"/>
      <c r="C36" s="72"/>
      <c r="D36" s="72"/>
      <c r="E36" s="72"/>
      <c r="F36" s="72"/>
      <c r="G36" s="72"/>
      <c r="H36" s="72"/>
      <c r="I36" s="72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73"/>
      <c r="C37" s="73"/>
      <c r="D37" s="73"/>
      <c r="E37" s="73"/>
      <c r="F37" s="73"/>
      <c r="G37" s="73"/>
      <c r="H37" s="73"/>
      <c r="I37" s="73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74"/>
      <c r="E38" s="74"/>
      <c r="F38" s="74"/>
      <c r="G38" s="75"/>
      <c r="H38" s="74"/>
      <c r="I38" s="74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74"/>
      <c r="E39" s="74"/>
      <c r="F39" s="74"/>
      <c r="G39" s="75"/>
      <c r="H39" s="74"/>
      <c r="I39" s="74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74"/>
      <c r="E40" s="74"/>
      <c r="F40" s="74"/>
      <c r="G40" s="75"/>
      <c r="H40" s="74"/>
      <c r="I40" s="74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74"/>
      <c r="E41" s="74"/>
      <c r="F41" s="74"/>
      <c r="G41" s="75"/>
      <c r="H41" s="74"/>
      <c r="I41" s="74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74"/>
      <c r="E42" s="74"/>
      <c r="F42" s="74"/>
      <c r="G42" s="75"/>
      <c r="H42" s="74"/>
      <c r="I42" s="74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74"/>
      <c r="E43" s="74"/>
      <c r="F43" s="74"/>
      <c r="G43" s="75"/>
      <c r="H43" s="74"/>
      <c r="I43" s="74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9:C29"/>
    <mergeCell ref="B30:C30"/>
    <mergeCell ref="B31:C31"/>
    <mergeCell ref="B32:C35"/>
  </mergeCells>
  <conditionalFormatting sqref="B8:C8 C9 D8:I9 D26:I26">
    <cfRule type="expression" dxfId="0" priority="1">
      <formula>AND(B$26=MIN($D$26:$I$26),B$26&lt;&gt;0)</formula>
    </cfRule>
  </conditionalFormatting>
  <conditionalFormatting sqref="D9:I25">
    <cfRule type="expression" dxfId="1" priority="2">
      <formula>AND(D$26=MIN($D$26:$I$26),D$26&lt;&gt;0)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37.33"/>
    <col customWidth="1" min="5" max="5" width="34.33"/>
    <col customWidth="1" min="6" max="6" width="35.17"/>
    <col customWidth="1" min="7" max="7" width="37.33"/>
    <col customWidth="1" min="8" max="8" width="37.17"/>
    <col customWidth="1" min="9" max="9" width="22.17"/>
    <col customWidth="1" min="10" max="10" width="31.17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76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8"/>
      <c r="B9" s="77" t="s">
        <v>67</v>
      </c>
      <c r="C9" s="78">
        <v>3.0</v>
      </c>
      <c r="D9" s="78" t="s">
        <v>68</v>
      </c>
      <c r="E9" s="78" t="s">
        <v>69</v>
      </c>
      <c r="F9" s="78" t="s">
        <v>70</v>
      </c>
      <c r="G9" s="78" t="s">
        <v>71</v>
      </c>
      <c r="H9" s="78" t="s">
        <v>72</v>
      </c>
      <c r="I9" s="78" t="s">
        <v>73</v>
      </c>
      <c r="J9" s="79" t="s">
        <v>70</v>
      </c>
      <c r="K9" s="79" t="s">
        <v>74</v>
      </c>
      <c r="L9" s="79" t="s">
        <v>72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18"/>
      <c r="B10" s="77" t="s">
        <v>75</v>
      </c>
      <c r="C10" s="78">
        <v>3.0</v>
      </c>
      <c r="D10" s="78" t="s">
        <v>76</v>
      </c>
      <c r="E10" s="78" t="s">
        <v>77</v>
      </c>
      <c r="F10" s="78" t="s">
        <v>78</v>
      </c>
      <c r="G10" s="78" t="s">
        <v>79</v>
      </c>
      <c r="H10" s="78" t="s">
        <v>80</v>
      </c>
      <c r="I10" s="78" t="s">
        <v>81</v>
      </c>
      <c r="J10" s="79" t="s">
        <v>77</v>
      </c>
      <c r="K10" s="79" t="s">
        <v>82</v>
      </c>
      <c r="L10" s="79" t="s">
        <v>81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18"/>
      <c r="B11" s="77" t="s">
        <v>83</v>
      </c>
      <c r="C11" s="78">
        <v>3.0</v>
      </c>
      <c r="D11" s="78" t="s">
        <v>84</v>
      </c>
      <c r="E11" s="78" t="s">
        <v>85</v>
      </c>
      <c r="F11" s="78" t="s">
        <v>86</v>
      </c>
      <c r="G11" s="78" t="s">
        <v>87</v>
      </c>
      <c r="H11" s="78" t="s">
        <v>88</v>
      </c>
      <c r="I11" s="78" t="s">
        <v>89</v>
      </c>
      <c r="J11" s="79" t="s">
        <v>85</v>
      </c>
      <c r="K11" s="79" t="s">
        <v>90</v>
      </c>
      <c r="L11" s="79" t="s">
        <v>86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8"/>
      <c r="B12" s="77" t="s">
        <v>91</v>
      </c>
      <c r="C12" s="78">
        <v>3.0</v>
      </c>
      <c r="D12" s="78" t="s">
        <v>92</v>
      </c>
      <c r="E12" s="78" t="s">
        <v>93</v>
      </c>
      <c r="F12" s="78" t="s">
        <v>94</v>
      </c>
      <c r="G12" s="78" t="s">
        <v>95</v>
      </c>
      <c r="H12" s="78" t="s">
        <v>96</v>
      </c>
      <c r="I12" s="78" t="s">
        <v>97</v>
      </c>
      <c r="J12" s="79" t="s">
        <v>93</v>
      </c>
      <c r="K12" s="79" t="s">
        <v>98</v>
      </c>
      <c r="L12" s="79" t="s">
        <v>94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8"/>
      <c r="B13" s="77" t="s">
        <v>99</v>
      </c>
      <c r="C13" s="78">
        <v>3.0</v>
      </c>
      <c r="D13" s="80">
        <v>195.8</v>
      </c>
      <c r="E13" s="80">
        <v>190.0</v>
      </c>
      <c r="F13" s="80">
        <v>200.0</v>
      </c>
      <c r="G13" s="80">
        <v>193.0</v>
      </c>
      <c r="H13" s="80">
        <v>198.0</v>
      </c>
      <c r="I13" s="80">
        <v>197.0</v>
      </c>
      <c r="J13" s="81">
        <v>190.0</v>
      </c>
      <c r="K13" s="81">
        <v>195.8</v>
      </c>
      <c r="L13" s="81">
        <v>200.0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18"/>
      <c r="B14" s="77" t="s">
        <v>100</v>
      </c>
      <c r="C14" s="78">
        <v>3.0</v>
      </c>
      <c r="D14" s="80">
        <v>479.9</v>
      </c>
      <c r="E14" s="80">
        <v>470.0</v>
      </c>
      <c r="F14" s="80">
        <v>485.0</v>
      </c>
      <c r="G14" s="80">
        <v>475.0</v>
      </c>
      <c r="H14" s="80">
        <v>480.0</v>
      </c>
      <c r="I14" s="80">
        <v>482.0</v>
      </c>
      <c r="J14" s="81">
        <v>470.0</v>
      </c>
      <c r="K14" s="81">
        <v>479.8</v>
      </c>
      <c r="L14" s="81">
        <v>485.0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33"/>
      <c r="B15" s="77" t="s">
        <v>101</v>
      </c>
      <c r="C15" s="78">
        <v>3.0</v>
      </c>
      <c r="D15" s="80">
        <v>406.9</v>
      </c>
      <c r="E15" s="80">
        <v>400.0</v>
      </c>
      <c r="F15" s="80">
        <v>410.0</v>
      </c>
      <c r="G15" s="80">
        <v>405.0</v>
      </c>
      <c r="H15" s="80">
        <v>408.0</v>
      </c>
      <c r="I15" s="80">
        <v>407.0</v>
      </c>
      <c r="J15" s="81">
        <v>400.0</v>
      </c>
      <c r="K15" s="81">
        <v>406.65</v>
      </c>
      <c r="L15" s="81">
        <v>410.0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2.75" customHeight="1">
      <c r="A16" s="33"/>
      <c r="B16" s="77" t="s">
        <v>102</v>
      </c>
      <c r="C16" s="78">
        <v>3.0</v>
      </c>
      <c r="D16" s="78" t="s">
        <v>103</v>
      </c>
      <c r="E16" s="78" t="s">
        <v>104</v>
      </c>
      <c r="F16" s="78" t="s">
        <v>105</v>
      </c>
      <c r="G16" s="78" t="s">
        <v>106</v>
      </c>
      <c r="H16" s="78" t="s">
        <v>107</v>
      </c>
      <c r="I16" s="78" t="s">
        <v>108</v>
      </c>
      <c r="J16" s="79" t="s">
        <v>104</v>
      </c>
      <c r="K16" s="79" t="s">
        <v>109</v>
      </c>
      <c r="L16" s="79" t="s">
        <v>105</v>
      </c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2.75" customHeight="1">
      <c r="A17" s="33"/>
      <c r="B17" s="77" t="s">
        <v>110</v>
      </c>
      <c r="C17" s="78">
        <v>3.0</v>
      </c>
      <c r="D17" s="78" t="s">
        <v>111</v>
      </c>
      <c r="E17" s="78" t="s">
        <v>112</v>
      </c>
      <c r="F17" s="78" t="s">
        <v>113</v>
      </c>
      <c r="G17" s="78" t="s">
        <v>114</v>
      </c>
      <c r="H17" s="78" t="s">
        <v>115</v>
      </c>
      <c r="I17" s="78" t="s">
        <v>116</v>
      </c>
      <c r="J17" s="79" t="s">
        <v>112</v>
      </c>
      <c r="K17" s="79" t="s">
        <v>117</v>
      </c>
      <c r="L17" s="79" t="s">
        <v>113</v>
      </c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2.75" customHeight="1">
      <c r="A18" s="33"/>
      <c r="B18" s="77" t="s">
        <v>118</v>
      </c>
      <c r="C18" s="78">
        <v>3.0</v>
      </c>
      <c r="D18" s="78" t="s">
        <v>119</v>
      </c>
      <c r="E18" s="78" t="s">
        <v>120</v>
      </c>
      <c r="F18" s="78" t="s">
        <v>121</v>
      </c>
      <c r="G18" s="78" t="s">
        <v>122</v>
      </c>
      <c r="H18" s="78" t="s">
        <v>123</v>
      </c>
      <c r="I18" s="78" t="s">
        <v>124</v>
      </c>
      <c r="J18" s="79" t="s">
        <v>120</v>
      </c>
      <c r="K18" s="79" t="s">
        <v>125</v>
      </c>
      <c r="L18" s="79" t="s">
        <v>121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2.75" customHeight="1">
      <c r="A19" s="33"/>
      <c r="B19" s="77" t="s">
        <v>126</v>
      </c>
      <c r="C19" s="78">
        <v>3.0</v>
      </c>
      <c r="D19" s="78" t="s">
        <v>127</v>
      </c>
      <c r="E19" s="78" t="s">
        <v>128</v>
      </c>
      <c r="F19" s="78" t="s">
        <v>129</v>
      </c>
      <c r="G19" s="78" t="s">
        <v>130</v>
      </c>
      <c r="H19" s="78" t="s">
        <v>131</v>
      </c>
      <c r="I19" s="78" t="s">
        <v>132</v>
      </c>
      <c r="J19" s="79" t="s">
        <v>128</v>
      </c>
      <c r="K19" s="79" t="s">
        <v>133</v>
      </c>
      <c r="L19" s="79" t="s">
        <v>129</v>
      </c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2.75" customHeight="1">
      <c r="A20" s="33"/>
      <c r="B20" s="77" t="s">
        <v>134</v>
      </c>
      <c r="C20" s="78">
        <v>3.0</v>
      </c>
      <c r="D20" s="78" t="s">
        <v>135</v>
      </c>
      <c r="E20" s="78" t="s">
        <v>136</v>
      </c>
      <c r="F20" s="78" t="s">
        <v>137</v>
      </c>
      <c r="G20" s="78" t="s">
        <v>138</v>
      </c>
      <c r="H20" s="78" t="s">
        <v>139</v>
      </c>
      <c r="I20" s="78" t="s">
        <v>140</v>
      </c>
      <c r="J20" s="79" t="s">
        <v>136</v>
      </c>
      <c r="K20" s="79" t="s">
        <v>141</v>
      </c>
      <c r="L20" s="79" t="s">
        <v>137</v>
      </c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2.75" customHeight="1">
      <c r="A21" s="33"/>
      <c r="B21" s="77" t="s">
        <v>142</v>
      </c>
      <c r="C21" s="78">
        <v>3.0</v>
      </c>
      <c r="D21" s="78" t="s">
        <v>143</v>
      </c>
      <c r="E21" s="78" t="s">
        <v>144</v>
      </c>
      <c r="F21" s="78" t="s">
        <v>145</v>
      </c>
      <c r="G21" s="78" t="s">
        <v>146</v>
      </c>
      <c r="H21" s="78" t="s">
        <v>147</v>
      </c>
      <c r="I21" s="80" t="s">
        <v>148</v>
      </c>
      <c r="J21" s="79" t="s">
        <v>144</v>
      </c>
      <c r="K21" s="79" t="s">
        <v>149</v>
      </c>
      <c r="L21" s="79" t="s">
        <v>145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2.75" customHeight="1">
      <c r="A22" s="33"/>
      <c r="B22" s="21"/>
      <c r="C22" s="42"/>
      <c r="D22" s="43"/>
      <c r="E22" s="43"/>
      <c r="F22" s="43"/>
      <c r="G22" s="43"/>
      <c r="H22" s="21"/>
      <c r="I22" s="44"/>
      <c r="J22" s="34">
        <f>MIN('Precios  (2)'!$D22:$I22)</f>
        <v>0</v>
      </c>
      <c r="K22" s="25">
        <f>IFERROR(AVERAGE('Precios  (2)'!$D22:$I22),0)</f>
        <v>0</v>
      </c>
      <c r="L22" s="31">
        <f>MAX('Precios  (2)'!$D22:$I22)</f>
        <v>0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2.75" customHeight="1">
      <c r="A23" s="33"/>
      <c r="B23" s="21"/>
      <c r="C23" s="42"/>
      <c r="D23" s="43"/>
      <c r="E23" s="43"/>
      <c r="F23" s="43"/>
      <c r="G23" s="43"/>
      <c r="H23" s="21"/>
      <c r="I23" s="44"/>
      <c r="J23" s="34">
        <f>MIN('Precios  (2)'!$D23:$I23)</f>
        <v>0</v>
      </c>
      <c r="K23" s="25">
        <f>IFERROR(AVERAGE('Precios  (2)'!$D23:$I23),0)</f>
        <v>0</v>
      </c>
      <c r="L23" s="31">
        <f>MAX('Precios  (2)'!$D23:$I23)</f>
        <v>0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33"/>
      <c r="B24" s="21"/>
      <c r="C24" s="42"/>
      <c r="D24" s="43"/>
      <c r="E24" s="43"/>
      <c r="F24" s="43"/>
      <c r="G24" s="43"/>
      <c r="H24" s="21"/>
      <c r="I24" s="44"/>
      <c r="J24" s="34">
        <f>MIN('Precios  (2)'!$D24:$I24)</f>
        <v>0</v>
      </c>
      <c r="K24" s="25">
        <f>IFERROR(AVERAGE('Precios  (2)'!$D24:$I24),0)</f>
        <v>0</v>
      </c>
      <c r="L24" s="31">
        <f>MAX('Precios  (2)'!$D24:$I24)</f>
        <v>0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3"/>
      <c r="B25" s="46" t="s">
        <v>43</v>
      </c>
      <c r="C25" s="46"/>
      <c r="D25" s="47">
        <f>ROUND(SUMPRODUCT('Precios  (2)'!$C$9:$C$24,'Precios  (2)'!$D$9:$D$24),2)</f>
        <v>3247.8</v>
      </c>
      <c r="E25" s="47">
        <f>ROUND(SUMPRODUCT('Precios  (2)'!$C$9:$C$24,'Precios  (2)'!$E$9:$E$24),2)</f>
        <v>3180</v>
      </c>
      <c r="F25" s="47">
        <f>ROUND(SUMPRODUCT('Precios  (2)'!$C$9:$C$24,'Precios  (2)'!$F$9:$F$24),2)</f>
        <v>3285</v>
      </c>
      <c r="G25" s="47">
        <f>ROUND(SUMPRODUCT('Precios  (2)'!$C$9:$C$24,'Precios  (2)'!$G$9:$G$24),2)</f>
        <v>3219</v>
      </c>
      <c r="H25" s="47">
        <f>ROUND(SUMPRODUCT('Precios  (2)'!$C$9:$C$24,'Precios  (2)'!$H$9:$H$24),2)</f>
        <v>3258</v>
      </c>
      <c r="I25" s="47">
        <f>ROUND(SUMPRODUCT('Precios  (2)'!$C$9:$C$24,'Precios  (2)'!$I$9:$I$24),2)</f>
        <v>17493258</v>
      </c>
      <c r="J25" s="48"/>
      <c r="K25" s="48"/>
      <c r="L25" s="49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3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3"/>
      <c r="B27" s="50"/>
      <c r="C27" s="50"/>
      <c r="D27" s="50"/>
      <c r="E27" s="50"/>
      <c r="F27" s="50"/>
      <c r="G27" s="50"/>
      <c r="H27" s="50"/>
      <c r="I27" s="50"/>
      <c r="J27" s="5"/>
      <c r="K27" s="6"/>
      <c r="L27" s="6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48.0" customHeight="1">
      <c r="A28" s="33"/>
      <c r="B28" s="51" t="s">
        <v>44</v>
      </c>
      <c r="C28" s="52"/>
      <c r="D28" s="53"/>
      <c r="E28" s="53"/>
      <c r="F28" s="53"/>
      <c r="G28" s="53"/>
      <c r="H28" s="53"/>
      <c r="I28" s="54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33.0" customHeight="1">
      <c r="A29" s="33"/>
      <c r="B29" s="55" t="s">
        <v>150</v>
      </c>
      <c r="C29" s="52"/>
      <c r="D29" s="82" t="s">
        <v>151</v>
      </c>
      <c r="E29" s="83" t="s">
        <v>152</v>
      </c>
      <c r="F29" s="82" t="s">
        <v>153</v>
      </c>
      <c r="G29" s="82" t="s">
        <v>154</v>
      </c>
      <c r="H29" s="82" t="s">
        <v>155</v>
      </c>
      <c r="I29" s="83" t="s">
        <v>156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5.5" customHeight="1">
      <c r="A30" s="33"/>
      <c r="B30" s="55" t="s">
        <v>52</v>
      </c>
      <c r="C30" s="52"/>
      <c r="D30" s="84">
        <v>50.0</v>
      </c>
      <c r="E30" s="85" t="s">
        <v>157</v>
      </c>
      <c r="F30" s="84">
        <v>45.0</v>
      </c>
      <c r="G30" s="86">
        <v>40.0</v>
      </c>
      <c r="H30" s="84">
        <v>55.0</v>
      </c>
      <c r="I30" s="84">
        <v>48.0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0" customHeight="1">
      <c r="A31" s="33"/>
      <c r="B31" s="61" t="s">
        <v>55</v>
      </c>
      <c r="C31" s="62"/>
      <c r="D31" s="87"/>
      <c r="E31" s="87"/>
      <c r="F31" s="87"/>
      <c r="G31" s="88"/>
      <c r="H31" s="88"/>
      <c r="I31" s="88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64"/>
      <c r="C32" s="65"/>
      <c r="D32" s="89" t="s">
        <v>158</v>
      </c>
      <c r="E32" s="90" t="s">
        <v>159</v>
      </c>
      <c r="F32" s="91"/>
      <c r="G32" s="89" t="s">
        <v>160</v>
      </c>
      <c r="H32" s="85" t="s">
        <v>161</v>
      </c>
      <c r="I32" s="89" t="s">
        <v>162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64"/>
      <c r="C33" s="65"/>
      <c r="D33" s="92"/>
      <c r="E33" s="88"/>
      <c r="F33" s="88"/>
      <c r="G33" s="87"/>
      <c r="H33" s="88"/>
      <c r="I33" s="8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66"/>
      <c r="B34" s="69"/>
      <c r="C34" s="70"/>
      <c r="D34" s="88"/>
      <c r="E34" s="88"/>
      <c r="F34" s="87"/>
      <c r="G34" s="88"/>
      <c r="H34" s="88"/>
      <c r="I34" s="87"/>
      <c r="J34" s="3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73"/>
      <c r="C35" s="73"/>
      <c r="D35" s="73"/>
      <c r="E35" s="73"/>
      <c r="F35" s="73"/>
      <c r="G35" s="93"/>
      <c r="H35" s="73"/>
      <c r="I35" s="73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74"/>
      <c r="E37" s="74"/>
      <c r="F37" s="74"/>
      <c r="G37" s="5"/>
      <c r="H37" s="74"/>
      <c r="I37" s="74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74"/>
      <c r="E38" s="74"/>
      <c r="F38" s="74"/>
      <c r="G38" s="75"/>
      <c r="H38" s="74"/>
      <c r="I38" s="74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74"/>
      <c r="E39" s="74"/>
      <c r="F39" s="74"/>
      <c r="G39" s="75"/>
      <c r="H39" s="74"/>
      <c r="I39" s="74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74"/>
      <c r="E40" s="74"/>
      <c r="F40" s="74"/>
      <c r="G40" s="75"/>
      <c r="H40" s="74"/>
      <c r="I40" s="74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74"/>
      <c r="E41" s="74"/>
      <c r="F41" s="74"/>
      <c r="G41" s="75"/>
      <c r="H41" s="74"/>
      <c r="I41" s="74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74"/>
      <c r="E42" s="74"/>
      <c r="F42" s="74"/>
      <c r="G42" s="75"/>
      <c r="H42" s="74"/>
      <c r="I42" s="74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0" priority="1">
      <formula>AND(B$25=MIN($D$25:$I$25),B$25&lt;&gt;0)</formula>
    </cfRule>
  </conditionalFormatting>
  <conditionalFormatting sqref="D8:I8 D25:I25">
    <cfRule type="expression" dxfId="0" priority="2">
      <formula>AND(D$25=MIN($D$25:$I$25),D$25&lt;&gt;0)</formula>
    </cfRule>
  </conditionalFormatting>
  <conditionalFormatting sqref="D9:I24">
    <cfRule type="expression" dxfId="1" priority="3">
      <formula>AND(D$25=MIN($D$25:$I$25),D$25&lt;&gt;0)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  <col customWidth="1" min="10" max="26" width="12.0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94" t="s">
        <v>163</v>
      </c>
      <c r="C7" s="95">
        <v>1.0</v>
      </c>
      <c r="D7" s="94">
        <v>498.0</v>
      </c>
      <c r="E7" s="94">
        <v>420.0</v>
      </c>
      <c r="F7" s="94">
        <v>450.0</v>
      </c>
      <c r="G7" s="94">
        <v>230.0</v>
      </c>
      <c r="H7" s="94">
        <v>600.0</v>
      </c>
      <c r="I7" s="94">
        <v>520.0</v>
      </c>
    </row>
    <row r="8" ht="11.25" customHeight="1">
      <c r="B8" s="94" t="s">
        <v>164</v>
      </c>
      <c r="C8" s="95">
        <v>2.0</v>
      </c>
      <c r="D8" s="94">
        <v>450.0</v>
      </c>
      <c r="E8" s="94">
        <v>220.0</v>
      </c>
      <c r="F8" s="94">
        <v>405.0</v>
      </c>
      <c r="G8" s="94">
        <v>495.0</v>
      </c>
      <c r="H8" s="94">
        <v>540.0</v>
      </c>
      <c r="I8" s="94">
        <v>200.0</v>
      </c>
    </row>
    <row r="9" ht="11.25" customHeight="1">
      <c r="B9" s="94" t="s">
        <v>165</v>
      </c>
      <c r="C9" s="95">
        <v>2.0</v>
      </c>
      <c r="D9" s="94">
        <v>650.0</v>
      </c>
      <c r="E9" s="94">
        <v>620.0</v>
      </c>
      <c r="F9" s="94">
        <v>666.0</v>
      </c>
      <c r="G9" s="94">
        <v>400.0</v>
      </c>
      <c r="H9" s="94">
        <v>648.0</v>
      </c>
      <c r="I9" s="94">
        <v>452.4</v>
      </c>
    </row>
    <row r="10" ht="11.25" customHeight="1">
      <c r="B10" s="94" t="s">
        <v>166</v>
      </c>
      <c r="C10" s="95">
        <v>1.0</v>
      </c>
      <c r="D10" s="94">
        <v>585.0</v>
      </c>
      <c r="E10" s="94">
        <v>558.0</v>
      </c>
      <c r="F10" s="94">
        <v>320.0</v>
      </c>
      <c r="G10" s="94">
        <v>360.0</v>
      </c>
      <c r="H10" s="94">
        <v>583.2</v>
      </c>
      <c r="I10" s="94">
        <v>407.16</v>
      </c>
    </row>
    <row r="11" ht="11.25" customHeight="1">
      <c r="B11" s="94" t="s">
        <v>167</v>
      </c>
      <c r="C11" s="95">
        <v>3.0</v>
      </c>
      <c r="D11" s="94">
        <v>526.5</v>
      </c>
      <c r="E11" s="94">
        <v>502.2</v>
      </c>
      <c r="F11" s="94">
        <v>539.46</v>
      </c>
      <c r="G11" s="94">
        <v>300.0</v>
      </c>
      <c r="H11" s="94">
        <v>500.0</v>
      </c>
      <c r="I11" s="94">
        <v>366.44</v>
      </c>
    </row>
    <row r="12" ht="11.25" customHeight="1">
      <c r="B12" s="94" t="s">
        <v>168</v>
      </c>
      <c r="C12" s="95">
        <v>1.0</v>
      </c>
      <c r="D12" s="94">
        <v>473.8</v>
      </c>
      <c r="E12" s="94">
        <v>200.0</v>
      </c>
      <c r="F12" s="94">
        <v>485.51</v>
      </c>
      <c r="G12" s="94">
        <v>291.6</v>
      </c>
      <c r="H12" s="94">
        <v>270.0</v>
      </c>
      <c r="I12" s="94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96">
        <v>30.0</v>
      </c>
      <c r="E19" s="97">
        <v>10.0</v>
      </c>
      <c r="F19" s="97">
        <v>15.0</v>
      </c>
      <c r="G19" s="97">
        <v>15.0</v>
      </c>
      <c r="H19" s="97">
        <v>15.0</v>
      </c>
      <c r="I19" s="97">
        <v>10.0</v>
      </c>
    </row>
    <row r="20" ht="11.25" customHeight="1">
      <c r="D20" s="98">
        <v>10.0</v>
      </c>
      <c r="E20" s="99">
        <v>10.0</v>
      </c>
      <c r="F20" s="99">
        <v>10.0</v>
      </c>
      <c r="G20" s="97" t="s">
        <v>169</v>
      </c>
      <c r="H20" s="99">
        <v>5.0</v>
      </c>
      <c r="I20" s="99" t="s">
        <v>169</v>
      </c>
    </row>
    <row r="21" ht="11.25" customHeight="1">
      <c r="D21" s="100" t="s">
        <v>170</v>
      </c>
      <c r="E21" s="101" t="s">
        <v>170</v>
      </c>
      <c r="F21" s="101" t="s">
        <v>171</v>
      </c>
      <c r="G21" s="101" t="s">
        <v>172</v>
      </c>
      <c r="H21" s="101" t="s">
        <v>171</v>
      </c>
      <c r="I21" s="101" t="s">
        <v>171</v>
      </c>
    </row>
    <row r="22" ht="11.25" customHeight="1">
      <c r="D22" s="102" t="s">
        <v>173</v>
      </c>
      <c r="E22" s="103" t="s">
        <v>173</v>
      </c>
      <c r="F22" s="103" t="s">
        <v>174</v>
      </c>
      <c r="G22" s="103" t="s">
        <v>171</v>
      </c>
      <c r="H22" s="103" t="s">
        <v>174</v>
      </c>
      <c r="I22" s="103" t="s">
        <v>174</v>
      </c>
    </row>
    <row r="23" ht="11.25" customHeight="1">
      <c r="D23" s="104"/>
      <c r="E23" s="105"/>
      <c r="F23" s="105"/>
      <c r="G23" s="105"/>
      <c r="H23" s="105"/>
      <c r="I23" s="105"/>
    </row>
    <row r="24" ht="11.25" customHeight="1">
      <c r="D24" s="106"/>
      <c r="E24" s="107"/>
      <c r="F24" s="107"/>
      <c r="G24" s="107"/>
      <c r="H24" s="107"/>
      <c r="I24" s="107"/>
    </row>
    <row r="25" ht="11.25" customHeight="1"/>
    <row r="26" ht="11.25" customHeight="1"/>
    <row r="27" ht="11.25" customHeight="1"/>
    <row r="28" ht="11.25" customHeight="1">
      <c r="B28" s="94" t="s">
        <v>175</v>
      </c>
      <c r="C28" s="95">
        <v>1.0</v>
      </c>
      <c r="D28" s="94">
        <v>340.0</v>
      </c>
      <c r="E28" s="94">
        <v>330.0</v>
      </c>
      <c r="F28" s="94">
        <v>440.0</v>
      </c>
      <c r="G28" s="94">
        <v>400.0</v>
      </c>
      <c r="H28" s="94">
        <v>320.0</v>
      </c>
      <c r="I28" s="94">
        <v>330.0</v>
      </c>
    </row>
    <row r="29" ht="11.25" customHeight="1">
      <c r="B29" s="94" t="s">
        <v>176</v>
      </c>
      <c r="C29" s="95">
        <v>1.0</v>
      </c>
      <c r="D29" s="94">
        <v>220.0</v>
      </c>
      <c r="E29" s="94">
        <v>230.0</v>
      </c>
      <c r="F29" s="94">
        <v>240.0</v>
      </c>
      <c r="G29" s="94">
        <v>220.0</v>
      </c>
      <c r="H29" s="94">
        <v>219.0</v>
      </c>
      <c r="I29" s="94">
        <v>218.0</v>
      </c>
    </row>
    <row r="30" ht="11.25" customHeight="1">
      <c r="B30" s="94" t="s">
        <v>177</v>
      </c>
      <c r="C30" s="95">
        <v>2.0</v>
      </c>
      <c r="D30" s="94">
        <v>560.0</v>
      </c>
      <c r="E30" s="94">
        <v>580.0</v>
      </c>
      <c r="F30" s="94">
        <v>550.0</v>
      </c>
      <c r="G30" s="94">
        <v>520.0</v>
      </c>
      <c r="H30" s="94">
        <v>551.0</v>
      </c>
      <c r="I30" s="94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108" t="s">
        <v>178</v>
      </c>
    </row>
    <row r="36" ht="11.25" customHeight="1">
      <c r="B36" s="109">
        <v>250.0</v>
      </c>
    </row>
    <row r="37" ht="11.25" customHeight="1">
      <c r="B37" s="110">
        <v>440.0</v>
      </c>
    </row>
    <row r="38" ht="11.25" customHeight="1">
      <c r="B38" s="110">
        <v>440.0</v>
      </c>
    </row>
    <row r="39" ht="11.25" customHeight="1">
      <c r="B39" s="110">
        <v>350.0</v>
      </c>
    </row>
    <row r="40" ht="11.25" customHeight="1">
      <c r="B40" s="110">
        <v>420.0</v>
      </c>
    </row>
    <row r="41" ht="11.25" customHeight="1">
      <c r="B41" s="110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2013-10-17T12:18:53Z</dcterms:created>
  <dc:creator>Planilla excel</dc:creator>
</cp:coreProperties>
</file>