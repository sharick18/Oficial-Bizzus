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orre admin" sheetId="1" r:id="rId4"/>
    <sheet state="visible" name="Monitor Admin" sheetId="2" r:id="rId5"/>
    <sheet state="visible" name="DiscoSolido Admin" sheetId="3" r:id="rId6"/>
    <sheet state="visible" name="Disco duro interno Admin" sheetId="4" r:id="rId7"/>
    <sheet state="visible" name="Servidor Admin" sheetId="5" r:id="rId8"/>
    <sheet state="visible" name="ram Admin" sheetId="6" r:id="rId9"/>
    <sheet state="visible" name="Teclado Admin" sheetId="7" r:id="rId10"/>
    <sheet state="visible" name="Mause Admin" sheetId="8" r:id="rId11"/>
    <sheet state="visible" name="Portatil Nosotros" sheetId="9" r:id="rId12"/>
    <sheet state="visible" name="Monitor Nosotros" sheetId="10" r:id="rId13"/>
    <sheet state="visible" name=" Disco mecanico Nosotros" sheetId="11" r:id="rId14"/>
    <sheet state="visible" name=" Servidor Nosotros" sheetId="12" r:id="rId15"/>
    <sheet state="visible" name=" ram nosotros" sheetId="13" r:id="rId16"/>
    <sheet state="visible" name="Tarjeta de video nosotros" sheetId="14" r:id="rId17"/>
    <sheet state="visible" name="Procesador Nosotros" sheetId="15" r:id="rId18"/>
    <sheet state="visible" name="Teclado nosostros " sheetId="16" r:id="rId19"/>
    <sheet state="visible" name="Muse nosotros" sheetId="17" r:id="rId20"/>
    <sheet state="visible" name="software licencia" sheetId="18" r:id="rId21"/>
    <sheet state="visible" name="licencia visual" sheetId="19" r:id="rId22"/>
    <sheet state="visible" name="windows 11 licencia" sheetId="20" r:id="rId23"/>
    <sheet state="visible" name="licencia SQL" sheetId="21" r:id="rId24"/>
  </sheets>
  <definedNames/>
  <calcPr/>
  <extLst>
    <ext uri="GoogleSheetsCustomDataVersion2">
      <go:sheetsCustomData xmlns:go="http://customooxmlschemas.google.com/" r:id="rId25" roundtripDataChecksum="dolP6mJxtDcg+I0OEpXH4OzrrPtgfVNBzu6oNJpgCGY="/>
    </ext>
  </extLst>
</workbook>
</file>

<file path=xl/sharedStrings.xml><?xml version="1.0" encoding="utf-8"?>
<sst xmlns="http://schemas.openxmlformats.org/spreadsheetml/2006/main" count="715" uniqueCount="500">
  <si>
    <t>CUADRO DE COTIZACIONES</t>
  </si>
  <si>
    <t xml:space="preserve">Cuadro Comparativo de Cotizaciones </t>
  </si>
  <si>
    <t xml:space="preserve">Presupuestos (a)
</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</si>
  <si>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</si>
  <si>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</si>
  <si>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</si>
  <si>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</si>
  <si>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</si>
  <si>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</si>
  <si>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t>Tipo de cambio</t>
  </si>
  <si>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</si>
  <si>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</si>
  <si>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Nº 1</t>
  </si>
  <si>
    <t>OFFICE DEPOT</t>
  </si>
  <si>
    <t>https://www.officedepot.com.mx/officedepot/en/Categor%C3%ADa/Todas/computo/laptops-y-macbook/laptops/Laptop-Asus-Vivobook-15-Intel-Core-i5-15-6-pulg-512-GB-SSD-8-GB-RAM-Azul-Incluye-Mochila-y-Mouse/p/100253460</t>
  </si>
  <si>
    <t>PC ASUS Intel i5 / 8GB RAM / 1TB HDD</t>
  </si>
  <si>
    <t>USD 548</t>
  </si>
  <si>
    <t>CONTADO</t>
  </si>
  <si>
    <t>Equipo de oficina básico</t>
  </si>
  <si>
    <t xml:space="preserve">Nº2 </t>
  </si>
  <si>
    <t>KTRONIX</t>
  </si>
  <si>
    <t>https://www.ktronix.com/computador-portatil-hp-omnibook-16-pulgadas-ag1052la/p/199251282935</t>
  </si>
  <si>
    <t>CPU HP Ryzen 5 / 16GB RAM / 512GB SSD</t>
  </si>
  <si>
    <t>USD 801</t>
  </si>
  <si>
    <t>Incluye monitor 21.5”</t>
  </si>
  <si>
    <t>Nº 3</t>
  </si>
  <si>
    <t>FALABELLA</t>
  </si>
  <si>
    <t>https://www.falabella.com.co/falabella-co/product/73382597/Portatil-Gaming-HP-VICTUS-Intel-Core-i5-16-GB-RAM-512-GB-SSD-Almacenamiento-RTX-3050-Windows-11-Home-15-fa2014La-Computador-portatil/73382597</t>
  </si>
  <si>
    <t>PC Gamer Lenovo i7 / 16GB RAM / RTX 3060</t>
  </si>
  <si>
    <t>USD 1.293</t>
  </si>
  <si>
    <t>CUOTAS</t>
  </si>
  <si>
    <t>Computador gamer de alto rendimiento</t>
  </si>
  <si>
    <r>
      <rPr>
        <rFont val="Arial"/>
        <b/>
        <color theme="1"/>
        <sz val="10.0"/>
      </rPr>
      <t xml:space="preserve">(a) Se deben presentar tres (3) presupuestos cuando:   
   </t>
    </r>
    <r>
      <rPr>
        <rFont val="Arial"/>
        <b val="0"/>
        <color theme="1"/>
        <sz val="10.0"/>
      </rPr>
      <t xml:space="preserve">El valor del gasto supere el monto de pesos un mil ($ 1.000,00). 
     Se pueden presentar al menos tres (3) solicitudes de cotización (del bien o servicio a contratar) cursadas a tres o más empresas oferentes.
     La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</si>
  <si>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</si>
  <si>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Arial"/>
        <b/>
        <color theme="1"/>
        <sz val="10.0"/>
      </rPr>
      <t>Empresa</t>
    </r>
    <r>
      <rPr>
        <rFont val="Arial"/>
        <b val="0"/>
        <i/>
        <color theme="1"/>
        <sz val="10.0"/>
      </rPr>
      <t xml:space="preserve">
(Nombre fiscal de la empresa)</t>
    </r>
  </si>
  <si>
    <r>
      <rPr>
        <rFont val="Arial"/>
        <b/>
        <color theme="1"/>
        <sz val="10.0"/>
      </rPr>
      <t>Nº de CUIT, Dirección, Teléfono</t>
    </r>
    <r>
      <rPr>
        <rFont val="Arial"/>
        <b val="0"/>
        <i/>
        <color theme="1"/>
        <sz val="10.0"/>
      </rPr>
      <t xml:space="preserve">
(Datos de la empresa)</t>
    </r>
  </si>
  <si>
    <r>
      <rPr>
        <rFont val="Arial"/>
        <b/>
        <color theme="1"/>
        <sz val="10.0"/>
      </rPr>
      <t>Descripción del
bien/ servicio (b)</t>
    </r>
    <r>
      <rPr>
        <rFont val="Arial"/>
        <b val="0"/>
        <i/>
        <color theme="1"/>
        <sz val="10.0"/>
      </rPr>
      <t xml:space="preserve">
Características de los bienes/ servicios</t>
    </r>
  </si>
  <si>
    <r>
      <rPr>
        <rFont val="Arial"/>
        <b/>
        <color theme="1"/>
        <sz val="10.0"/>
      </rPr>
      <t xml:space="preserve">Importe Unitario
</t>
    </r>
    <r>
      <rPr>
        <rFont val="Arial"/>
        <b val="0"/>
        <i/>
        <color theme="1"/>
        <sz val="10.0"/>
      </rPr>
      <t>(moneda nacional)</t>
    </r>
  </si>
  <si>
    <r>
      <rPr>
        <rFont val="Arial"/>
        <b/>
        <color theme="1"/>
        <sz val="10.0"/>
        <u/>
      </rPr>
      <t xml:space="preserve">Importe Total
 IVA incluido
</t>
    </r>
    <r>
      <rPr>
        <rFont val="Arial"/>
        <b val="0"/>
        <i/>
        <color theme="1"/>
        <sz val="10.0"/>
        <u/>
      </rPr>
      <t>(moneda nacional)</t>
    </r>
  </si>
  <si>
    <r>
      <rPr>
        <rFont val="Arial"/>
        <b/>
        <color theme="1"/>
        <sz val="10.0"/>
      </rPr>
      <t xml:space="preserve">Importe Total
</t>
    </r>
    <r>
      <rPr>
        <rFont val="Arial"/>
        <b val="0"/>
        <i/>
        <color theme="1"/>
        <sz val="10.0"/>
      </rPr>
      <t>(moneda extranjera)</t>
    </r>
  </si>
  <si>
    <r>
      <rPr>
        <rFont val="Arial"/>
        <b/>
        <color theme="1"/>
        <sz val="10.0"/>
      </rPr>
      <t xml:space="preserve">Forma de Pago 
</t>
    </r>
    <r>
      <rPr>
        <rFont val="Arial"/>
        <b val="0"/>
        <i/>
        <color theme="1"/>
        <sz val="10.0"/>
      </rPr>
      <t>(Contado o Cheque)</t>
    </r>
  </si>
  <si>
    <r>
      <rPr>
        <rFont val="Arial"/>
        <b/>
        <color theme="1"/>
        <sz val="10.0"/>
      </rPr>
      <t xml:space="preserve">Observaciones </t>
    </r>
    <r>
      <rPr>
        <rFont val="Arial"/>
        <b val="0"/>
        <i/>
        <color theme="1"/>
        <sz val="10.0"/>
      </rPr>
      <t xml:space="preserve">
(se debe incluir toda aquella característica que no ha sido posible incluir anteriormente)</t>
    </r>
  </si>
  <si>
    <t>MERCADO LIBRE</t>
  </si>
  <si>
    <t>https://www.mercadolibre.com.co/monitor-gamer-lg-ultragear-27-curvo-qhd-180hz-1ms-freesync-hdr10-gris/p/MCO45941896#polycard_client=search-nordic&amp;search_layout=stack&amp;position=1&amp;type=product&amp;tracking_id=8ae1ea38-9367-41f1-ad66-f66bcb7ae34e&amp;wid=MCO3207946144&amp;sid=search</t>
  </si>
  <si>
    <t>Monitor LG UltraGear 27" QHD 165Hz, 1ms, HDMI/DisplayPort</t>
  </si>
  <si>
    <t>Ideal para gaming, panel IPS, ajuste de altura</t>
  </si>
  <si>
    <t xml:space="preserve">ALKOSTO </t>
  </si>
  <si>
    <t>https://www.alkosto.com/monitor-samsung-24-pulgadas-d300-fhd-plano-negro/p/887276903149</t>
  </si>
  <si>
    <t>Monitor Dell 24" Full HD, 75Hz, sin bordes, HDMI</t>
  </si>
  <si>
    <t>Ideal para oficina, diseño sin bordes, ahorro energético</t>
  </si>
  <si>
    <t xml:space="preserve"> LA CURACAO </t>
  </si>
  <si>
    <t>https://www.lacuracao.pe/monitor-samsung-ls32dg300elxpe-odyssey-g-ls32dg300elxpe.html</t>
  </si>
  <si>
    <t>Monitor Samsung Curvo 32" FHD, HDMI, 75Hz</t>
  </si>
  <si>
    <t>Curvatura 1000R, modo Eye Saver, excelente contraste</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</si>
  <si>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</si>
  <si>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</si>
  <si>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</si>
  <si>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</si>
  <si>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</si>
  <si>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</si>
  <si>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</si>
  <si>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</si>
  <si>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</si>
  <si>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</si>
  <si>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 xml:space="preserve">HI TECH </t>
  </si>
  <si>
    <t>https://hitechsas.mercadoshops.com.co/disco-solido-m2-480-gb-crucial-e100-pcie-40-2280-color-negro/p/MCO46065423#item_id=MCO2857743470&amp;component=collection_grid&amp;page_from=home&amp;custom_categories=false&amp;item_id=MCO2857743470&amp;component=collection_grid&amp;page_from=home&amp;custom_categories=false</t>
  </si>
  <si>
    <t>Disco Sólido SSD Kingston NV2 1TB M.2 PCIe 4.0 NVMe</t>
  </si>
  <si>
    <t xml:space="preserve">CONTADO </t>
  </si>
  <si>
    <t>Útil para guardar programas y documentos con su capacidad de 500 GB.</t>
  </si>
  <si>
    <t xml:space="preserve">TECNOPLAZA  </t>
  </si>
  <si>
    <t>https://tecnoplaza.com.co/products/disco-solido-ssd-adata-su650-sata-de-512-gb-3dnan?variant=44592909418684&amp;country=CO&amp;currency=COP&amp;utm_medium=product_sync&amp;utm_source=google&amp;utm_content=sag_organic&amp;utm_campaign=sag_organic&amp;gad_source=1&amp;gad_campaignid=21026071843&amp;gbraid=0AAAAACSemFlL5IkFOal93eqGju5kFsT9A&amp;gclid=Cj0KCQjwjL3HBhCgARIsAPUg7a5SroHIyxBJV8G39HV0kosFWa5hTveG-WxV6wG8FjmVOcSpds0m2MYaAtoyEALw_wcB</t>
  </si>
  <si>
    <t>Disco Sólido SSD Western Digital Blue 500GB SATA 2.5”</t>
  </si>
  <si>
    <t>Ideal para reemplazar discos duros tradicionales, rendimiento estable Alta durabilidad, velocidades de lectura hasta 560 MB/s y escritura 530 MB/</t>
  </si>
  <si>
    <t>ROKA</t>
  </si>
  <si>
    <t>https://www.dataroka.com/disco-solido-ssd-interno-adata-ultimate-su650-asu650ss-512gt-r-512gb/p/MCO35339869?pdp_filters=category%3AMCO1672%7Cseller_id%3A176837259%7Citem_id%3AMCO2329119764</t>
  </si>
  <si>
    <t>Disco Sólido SSD Samsung 870 EVO 1TB SATA III</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</si>
  <si>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</si>
  <si>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</si>
  <si>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</si>
  <si>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</si>
  <si>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</si>
  <si>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</si>
  <si>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</si>
  <si>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</si>
  <si>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</si>
  <si>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</si>
  <si>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TECNO IMPORTACIONES</t>
  </si>
  <si>
    <t>https://tecnoimportaciones.com/almacenamiento/discosduros/wd-elements-2tb/?srsltid=AfmBOooEhTJNzQ4XTZR57fm3R1WdsSOe1h0jPwXbQiDTPOG-qwkIFVYy</t>
  </si>
  <si>
    <t>Disco Duro Externo WD Elements 2TB USB 3.0</t>
  </si>
  <si>
    <t>Incluye cable USB 3.0 y garantía de 2 años.</t>
  </si>
  <si>
    <t xml:space="preserve">AMAZON </t>
  </si>
  <si>
    <t>https://www.amazon.com/-/es/Seagate-BarraCuda-frustraci%C3%B3n-ST2000DM008-ST2000DMZ08/dp/B07H2RR55Q?th=1</t>
  </si>
  <si>
    <t>Disco Duro SEAGATE Barracuda 2TB SATA 3.5”</t>
  </si>
  <si>
    <t>Ideal para almacenamiento interno de PC</t>
  </si>
  <si>
    <t>SYM COMPUTER</t>
  </si>
  <si>
    <t>https://symcomputadores.com/producto/disco-duro-externo-toshiba-2tb-17/</t>
  </si>
  <si>
    <t>Disco Duro Portátil TOSHIBA 2TB USB 3.0</t>
  </si>
  <si>
    <t>Garantía de 1 año y alta velocidad de transferencia</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</si>
  <si>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</si>
  <si>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</si>
  <si>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</si>
  <si>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</si>
  <si>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</si>
  <si>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</si>
  <si>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</si>
  <si>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</si>
  <si>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</si>
  <si>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</si>
  <si>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SKYWARD TELECOM</t>
  </si>
  <si>
    <t>https://www.skywardtel.com/Dell-PowerEdge-R750xs-Rack-Server.html?gad_source=1&amp;gad_campaignid=22194516369&amp;gbraid=0AAAAAq90mYKOcD0uvDRd4BhStuvl7E7Fs&amp;gclid=CjwKCAjwr8LHBhBKEiwAy47uUjgdRkTIbknANDWZJCqa4RiReUrCJUOG3lwBEeF5QOQqnSz3-pjLdhoCnZUQAvD_BwE</t>
  </si>
  <si>
    <t>Servidor Dell PowerEdge T40 / Intel Xeon E-2224G / 16GB RAM / 2TB HDD</t>
  </si>
  <si>
    <t>Incluye garantía de 3 años y soporte técnico De</t>
  </si>
  <si>
    <t xml:space="preserve">ELENST </t>
  </si>
  <si>
    <t>https://www.elenst.com/p/hpe-servidor-dl360-g11-4410y-mr408i-o-nc-8sff-svr/</t>
  </si>
  <si>
    <t>Servidor HP ProLiant DL20 Gen10 / Intel Xeon E-2224 / 16GB RAM / 1TB HDD</t>
  </si>
  <si>
    <t>Ideal para pequeñas empresas, compatible con RAID y virtualización.</t>
  </si>
  <si>
    <t xml:space="preserve">MYM SYSTECH </t>
  </si>
  <si>
    <t>https://mymsystech.com.co/servidores-y-almacenamiento/5174-servidor-lenovo-thinksystem-st50-e-2324g-16gb-ram-2tb-hdd-sata-7d8ka00ala.html?srsltid=AfmBOoqKh7JzlWjkdlQcIq_4MAMwLz8EEqsUk2CK6mEB5JPQS6tmypg4</t>
  </si>
  <si>
    <t>Servidor Lenovo ThinkSystem ST50 / Intel Xeon E-2236 / 16GB RAM / 2TB HDD</t>
  </si>
  <si>
    <t>Servidor compacto y eficiente, incluye garantía de 2 años</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</si>
  <si>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</si>
  <si>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</si>
  <si>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</si>
  <si>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</si>
  <si>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</si>
  <si>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</si>
  <si>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</si>
  <si>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</si>
  <si>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</si>
  <si>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</si>
  <si>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 xml:space="preserve">KINGSTON </t>
  </si>
  <si>
    <t>https://www.kingston.com/es/memory/gaming/kingston-fury-beast-ddr5-memory</t>
  </si>
  <si>
    <t>Memoria RAM DDR5 Kingston Fury Beast 16GB 4800MHz</t>
  </si>
  <si>
    <t>La memoria DDR4 CORSAIR VENGEANCE RGB RS realza la estética de su PC gracias a su iluminación RGB dinámica y direccionable individualmente</t>
  </si>
  <si>
    <t xml:space="preserve">CORSAIR </t>
  </si>
  <si>
    <t>https://www.corsair.com/es/es/p/memory/cmk16gx5m1b5200c40/vengeance-16gb-1x16gb-ddr5-dram-5200mhz-c40-memory-kit-black-cmk16gx5m1b5200c40?srsltid=AfmBOoqDPor0x5yy7MUCLTxTOWc3eKv1buvodsa_QtTImZC2Go87B10p</t>
  </si>
  <si>
    <t>Memoria RAM Corsair Vengeance DDR5 16GB 5200MHz</t>
  </si>
  <si>
    <t>Cuenta con una tasa de transferencia de 25600 MB/s.</t>
  </si>
  <si>
    <t xml:space="preserve">MERCADO LIBRE </t>
  </si>
  <si>
    <t>https://www.mercadolibre.com.co/unidad-solida-kingston-m2-nv2-nvme-pcie-1tb-gen-4x4/p/MCO19882453</t>
  </si>
  <si>
    <t>Unidad SSD Kingston NV2 1TB NVMe PCIe 4.0</t>
  </si>
  <si>
    <t>Velocidad de reloj de 3200 MHz.</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</si>
  <si>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</si>
  <si>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</si>
  <si>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</si>
  <si>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</si>
  <si>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</si>
  <si>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</si>
  <si>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</si>
  <si>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</si>
  <si>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</si>
  <si>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</si>
  <si>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ÉXITO</t>
  </si>
  <si>
    <t>https://www.exito.com/teclado-logitech-k120-usb-102480047-mp/p</t>
  </si>
  <si>
    <t>Teclado Logitech K120 Alámbrico</t>
  </si>
  <si>
    <t>Resistente a salpicaduras</t>
  </si>
  <si>
    <t>https://www.mercadolibre.com.co/teclado-inalambrico-gamer-led-rgb-redragon-k503-black/p/MCO2039243525#polycard_client=search-nordic&amp;search_layout=stack&amp;position=2&amp;type=product&amp;tracking_id=32bffbc7-c186-4c7e-9907-3147aa461959&amp;wid=MCO1322984767&amp;sid=search</t>
  </si>
  <si>
    <t>Teclado Gamer Redragon Harpe K503</t>
  </si>
  <si>
    <t>TRANSFERENCIA</t>
  </si>
  <si>
    <t>Retroiluminado RGB</t>
  </si>
  <si>
    <t>(601) 743 2000</t>
  </si>
  <si>
    <t>Teclado Inalámbrico Genius Smart KM-820</t>
  </si>
  <si>
    <t>Incluye mouse inalámbrico</t>
  </si>
  <si>
    <t>Calle 12 # 34 - 30, Bogotá D.C.</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</si>
  <si>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</si>
  <si>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</si>
  <si>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</si>
  <si>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</si>
  <si>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</si>
  <si>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</si>
  <si>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</si>
  <si>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</si>
  <si>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</si>
  <si>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</si>
  <si>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 xml:space="preserve">KTRONIX </t>
  </si>
  <si>
    <t>https://www.ktronix.com/mouse-logitech-inalambrico-optico-m170-rosado/p/097855183446</t>
  </si>
  <si>
    <t>Mouse inalámbrico Logitech M170</t>
  </si>
  <si>
    <t>Conexión USB Plug &amp; Play</t>
  </si>
  <si>
    <t>https://www.falabella.com.co/falabella-co/product/143244843/MOUSE-HP-100-ALAMBRICO-NEGRO-USB/143244844</t>
  </si>
  <si>
    <t>Mouse HP 100 Alámbrico</t>
  </si>
  <si>
    <t>Diseño ambidiestro</t>
  </si>
  <si>
    <t>ALKOSTO</t>
  </si>
  <si>
    <t>https://www.alkosto.com/mouse-hyperx-alambrico-optico-pulsefire-core-6200dpi-rgb/p/196188043127</t>
  </si>
  <si>
    <t>Mouse Gamer Reptile X15 RGB</t>
  </si>
  <si>
    <t>Luces RGB y 6 botones programables</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</si>
  <si>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</si>
  <si>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</si>
  <si>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</si>
  <si>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</si>
  <si>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</si>
  <si>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</si>
  <si>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</si>
  <si>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</si>
  <si>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</si>
  <si>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</si>
  <si>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PANAMERICANA</t>
  </si>
  <si>
    <t>https://www.panamericana.com.co/portatil-lenovo-ideapad-slim-3-15amn8-82xq0063lm-15-6-amd-ryzen-5-ram-8gb-512gb-ssd-azul-hielo-665619/p</t>
  </si>
  <si>
    <t xml:space="preserve">
Portátil Lenovo IdeaPad 3 Ryzen 5 / 8GB RAM / 256GB SSD</t>
  </si>
  <si>
    <t>Procesador AMD RYZEN R7 5825U 8 NUCELOS</t>
  </si>
  <si>
    <t>COMPUMAX</t>
  </si>
  <si>
    <t>https://www.compumax.com.co/productos/5697</t>
  </si>
  <si>
    <t>Portátil HP 14 Intel Core i3 / 8GB RAM / 256GB SSD</t>
  </si>
  <si>
    <t>Escudo de privacidad de la cámara WEB física</t>
  </si>
  <si>
    <t>LENOVO STORE</t>
  </si>
  <si>
    <t>https://www.lenovo.com/co/es/p/accessories-and-software/monitors/office/62cauar1us</t>
  </si>
  <si>
    <t>Portátil Acer Aspire 5 Core i5 / 12GB RAM / 512GB SSD</t>
  </si>
  <si>
    <t>HP Fast Charge. Carga de 0 a 50% en aproximadamente 45 min</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</si>
  <si>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</si>
  <si>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</si>
  <si>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</si>
  <si>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</si>
  <si>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</si>
  <si>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</si>
  <si>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</si>
  <si>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</si>
  <si>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</si>
  <si>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</si>
  <si>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HP STORE</t>
  </si>
  <si>
    <t>https://www.hp.com/co-es/shop/monitor-omen-fhd-gaming-de-23-8-780d9aa.html</t>
  </si>
  <si>
    <t>Monitor HP 23.8" IPS Full HD 24mq</t>
  </si>
  <si>
    <t>Pantalla antirreflejo, bisel delgado</t>
  </si>
  <si>
    <t>https://www.amazon.com/pulgadas-pantalla-computadora-alimentaci%C3%B3n-ascendente/dp/B0DPRD5DP3/ref=sr_1_1_sspa?__mk_es_US=%C3%85M%C3%85%C5%BD%C3%95%C3%91&amp;crid=21ZRPBPTYD40N&amp;dib=eyJ2IjoiMSJ9.tkVZsvnI8WQTrFiVFNvNGgMRN2M9H6weQinvKZUpi4lpeoe_HHSEF0KinPKwb53asdq7DnI_U8vbEcRF5X6KvSGBA-QDBKBPcakUw4mV0SGKCXm84D6EPHX4fZcS6stT21FxXfndyNsTnegHT0b0CdFz8EIvJmjUaLDMiPZABIUFs5VwmmaXVdj6e18jZsYXj-I7lcHoQtIbxESv2M5YQ-JAOaWbOh_isJ6CWWi7Wo0.oBMXpEjjJ-Wj1t_urj6U4Jy2IFo7y1ytwAj6hq9T1sE&amp;dib_tag=se&amp;keywords=Monitor+Dell+27%22+G2722HS+165Hz&amp;qid=1760549996&amp;sprefix=monitor+dell+27+g2722hs+165hz%2Caps%2C123&amp;sr=8-1-spons&amp;sp_csd=d2lkZ2V0TmFtZT1zcF9hdGY&amp;psc=1</t>
  </si>
  <si>
    <t>Monitor Dell 27" G2722HS 165Hz</t>
  </si>
  <si>
    <t>Frecuencia de actualización 165Hz</t>
  </si>
  <si>
    <t>JUMBO</t>
  </si>
  <si>
    <t>https://www.mercadolibre.com.co/monitor-gamer-lg-ultragear-27gr75q-lcd-27-negro-100v240v/p/MCO24122328?pdp_filters=item_id:MCO1413629089#is_advertising=true&amp;searchVariation=MCO24122328&amp;position=10&amp;search_layout=stack&amp;type=pad&amp;tracking_id=7415b802-551f-4627-8fe6-d6c65a3e40c2&amp;is_advertising=true&amp;ad_domain=VQCATCORE_LST&amp;ad_position=10&amp;ad_click_id=ODk2ZGUwZDQtYTZlMS00YjZkLWJkNmUtYjc0N2NkYWY4OTdl</t>
  </si>
  <si>
    <t>Monitor LG 29" UltraWide 29WP500</t>
  </si>
  <si>
    <t>Formato 21:9 ideal multitarea</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</si>
  <si>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</si>
  <si>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</si>
  <si>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 xml:space="preserve">M </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</si>
  <si>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</si>
  <si>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</si>
  <si>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</si>
  <si>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</si>
  <si>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</si>
  <si>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</si>
  <si>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</si>
  <si>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</si>
  <si>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SMART</t>
  </si>
  <si>
    <t>https://www.computadoresyserviciotecnico.com/producto/disco-duro-externo-seagate-expansion-stea2000400-2tb-negro/</t>
  </si>
  <si>
    <t>Disco Duro Externo Seagate Expansion 2TB USB 3.0</t>
  </si>
  <si>
    <t>Ideal para copias de seguridad y transporte de archivos grandes..</t>
  </si>
  <si>
    <t>COMPUCENTRO</t>
  </si>
  <si>
    <t>https://compucentro.co/disco-duro-kingston-ssd-m-2-nvme-500gb-snv2s-500g/</t>
  </si>
  <si>
    <t>Unidad SSD Kingston NV2 500GB NVMe PCIe 4.0</t>
  </si>
  <si>
    <t>Mayor velocidad de lectura y escritura para mejorar el rendimiento del sistema.</t>
  </si>
  <si>
    <t xml:space="preserve">SPEED LOGIC </t>
  </si>
  <si>
    <t>https://speedlogic.com.co/tienda/memorias-ram/memoria-ram-para-pc-ddr4-8g-3200-mhz-adata-xpg-spectrix-d35g-rgb/?srsltid=AfmBOopv-cvSIQxB6IduACm8qwt7PnwWRnl85MxwSS9WMOjmruFshLJm</t>
  </si>
  <si>
    <t>Memoria RAM ADATA 8GB DDR4 3200MHz</t>
  </si>
  <si>
    <t>Aumenta la velocidad de respuesta y mejora el rendimiento multitarea del equipo.</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</si>
  <si>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</si>
  <si>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</si>
  <si>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</si>
  <si>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</si>
  <si>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</si>
  <si>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</si>
  <si>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</si>
  <si>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</si>
  <si>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</si>
  <si>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</si>
  <si>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 xml:space="preserve">MUNDO LAPTOPS </t>
  </si>
  <si>
    <t>https://www.mundolaptops.com/producto/lenovo-ideapad-3-15itl6/</t>
  </si>
  <si>
    <t>Portátil Lenovo IdeaPad 3 15ITL6 Intel Core i5 11va Gen 8GB RAM 512GB SSD</t>
  </si>
  <si>
    <t>Equipo moderno ideal para oficina y estudio, con excelente rendimiento.</t>
  </si>
  <si>
    <t>HP</t>
  </si>
  <si>
    <t>https://www.hp.com/co-es/shop/portatil-hp-15-fc0008la-morral-hp-travel-80m35la.html</t>
  </si>
  <si>
    <t>Portátil HP 15 Ryzen 5 8GB RAM 512GB SSD Windows 11</t>
  </si>
  <si>
    <t>Rendimiento óptimo para tareas profesionales y uso empresarial.</t>
  </si>
  <si>
    <t xml:space="preserve">EXITO </t>
  </si>
  <si>
    <t>https://www.exito.com/computador-asus-vivobook-15-intel-core-i5-1235u-ram-16-gb-512-gb-ssd-x1504za-nj1194w-3158131/p</t>
  </si>
  <si>
    <t>Portátil ASUS VivoBook 15 Intel Core i5 12va Gen 16GB RAM 512GB SSD</t>
  </si>
  <si>
    <t>Ideal para estudiantes y programadores por su rapidez y capacidad multitarea.</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</si>
  <si>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</si>
  <si>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</si>
  <si>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</si>
  <si>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</si>
  <si>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</si>
  <si>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</si>
  <si>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</si>
  <si>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</si>
  <si>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</si>
  <si>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</si>
  <si>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 xml:space="preserve">MEGA COMPUTER </t>
  </si>
  <si>
    <t>https://megacomputer.com.co/producto/monitor-hp-m24fw-23-8-fhd-blanco/</t>
  </si>
  <si>
    <t>Monitor HP M24fw FHD 23.8” con tecnología AMD FreeSync y panel IPS</t>
  </si>
  <si>
    <t>Pantalla con gran resolución y colores precisos, ideal para trabajo y diseño gráfico.</t>
  </si>
  <si>
    <t>AMAZON</t>
  </si>
  <si>
    <t>https://www.amazon.com/-/es/Dell-24-monitores-alineaci%C3%B3n-conectividad/dp/B0971MZ4VB</t>
  </si>
  <si>
    <t>Monitor Dell SE2422H 24” Full HD con entrada HDMI/VGA y tecnología ComfortView</t>
  </si>
  <si>
    <t>Diseño elegante, con ajuste de inclinación y bajo consumo energético.</t>
  </si>
  <si>
    <t>RERSET STORE</t>
  </si>
  <si>
    <t>https://reset.net.co/producto/monitor-24-lg-24mk430h-b-freesync/?srsltid=AfmBOop6I7QBHmPVCVL187euUMbmYFWXsBUNLz5AG_DDvwhDvRjtCxUd</t>
  </si>
  <si>
    <t>Monitor LG 24MK430H-B 24” Full HD, tecnología IPS y FreeSync</t>
  </si>
  <si>
    <t>Excelente relación calidad-precio, ideal para uso doméstico o profesional.</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</si>
  <si>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</si>
  <si>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</si>
  <si>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</si>
  <si>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</si>
  <si>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</si>
  <si>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</si>
  <si>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</si>
  <si>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</si>
  <si>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</si>
  <si>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</si>
  <si>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PCWARE</t>
  </si>
  <si>
    <t>https://www.pcware.com.co/asus-geforce-gtx-1650-dual-oc-4gb-gddr6-nvidia-turing-resistencia-al-polvo-ip5x-tecnologia-auto-extreme-tweak-ll-nvidia-g-sync?srsltid=AfmBOorNka1msUktuKvT_S_uUhdzJpodiOrzSJ37SIJyFlaMuCtNs8nl</t>
  </si>
  <si>
    <t>Tarjeta de Video ASUS GeForce GTX 1650 4GB GDDR6</t>
  </si>
  <si>
    <t>$ 390.000,00</t>
  </si>
  <si>
    <t>$ 471.900,00</t>
  </si>
  <si>
    <t>$ 962.950,00</t>
  </si>
  <si>
    <t>$ 1.815,00</t>
  </si>
  <si>
    <t>Ideal para gaming 1080p. 2 ventiladores, salida HDMI/DP/DVI.</t>
  </si>
  <si>
    <t xml:space="preserve">GIGABYTE </t>
  </si>
  <si>
    <t>https://www.gigabyte.com/Graphics-Card/GV-R66EAGLE-8GD</t>
  </si>
  <si>
    <t>Tarjeta GIGABYTE Radeon RX 6600 Eagle 8GB GDDR6</t>
  </si>
  <si>
    <t>$ 565.000,00</t>
  </si>
  <si>
    <t>$ 683.650,00</t>
  </si>
  <si>
    <t>$ 376,80</t>
  </si>
  <si>
    <t>Compatible con DirectX® 12 y PCIe 4.0. Bajo consumo energético</t>
  </si>
  <si>
    <t xml:space="preserve">ENJOY VIDEO GAME </t>
  </si>
  <si>
    <t>https://enjoyvideogames.com.co/product/tarjeta-de-video-msi-ventus-geforce-rtx-3060-12gb-oc-2/</t>
  </si>
  <si>
    <t>Tarjeta de Video MSI GeForce RTX 3060 Ventus 2X 12GB GDDR6</t>
  </si>
  <si>
    <t>$ 795.000,00</t>
  </si>
  <si>
    <t>$ 530,70</t>
  </si>
  <si>
    <t>Tecnología Ray Tracing y DLSS. Incluye software MSI Afterburner.</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</si>
  <si>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</si>
  <si>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</si>
  <si>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</si>
  <si>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</si>
  <si>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</si>
  <si>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</si>
  <si>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</si>
  <si>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</si>
  <si>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</si>
  <si>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</si>
  <si>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 xml:space="preserve">RESET STORE  </t>
  </si>
  <si>
    <t>https://reset.net.co/producto/procesador-amd-ryzen-5-5600g/?srsltid=AfmBOorUdb7u5hpgccDpkGp6pguC2ckOuIYXRliNJy6_v2NOvnDjPleE</t>
  </si>
  <si>
    <t>Procesador AMD Ryzen 5 5600G 6 núcleos / 12 hilos, 4.4GHz Turbo, Socket AM4</t>
  </si>
  <si>
    <t>$ 950.000,00</t>
  </si>
  <si>
    <t>$ 1.149.500,00</t>
  </si>
  <si>
    <t>$ 632,78</t>
  </si>
  <si>
    <t>$ 1.817,00</t>
  </si>
  <si>
    <t>Incluye gráficos Radeon Vega 7 integrados. Excelente relación rendimiento/precio..</t>
  </si>
  <si>
    <t>https://www.amazon.com/-/es/AMD-Ryzen-5800X-Procesador-desbloqueado/dp/B0815XFSGK?th=1</t>
  </si>
  <si>
    <t>Procesador AMD Ryzen 7 5800X 8 núcleos / 16 hilos, 4.7GHz Turbo, Socket AM4</t>
  </si>
  <si>
    <t>$ 1.350.000,00</t>
  </si>
  <si>
    <t>$ 1.633.500,00</t>
  </si>
  <si>
    <t>$ 899,17</t>
  </si>
  <si>
    <t>Ideal para tareas exigentes de productividad y gaming de alto nivel.</t>
  </si>
  <si>
    <t>https://www.amazon.com/-/es/i7-12700KF-procesador-escritorio-n%C3%BAcleos-Chipset/dp/B09GYJJ1PT/ref=sr_1_1?adgrpid=150843924434&amp;dib=eyJ2IjoiMSJ9.TJgrk1IvtZHLjIIneHQIDG2TU_Mat0k84dTkE1tcxoND4NjQB8mKoiEaT0TUyREGrXmKqQfO4iiL40ivWPOluJYQLhwJYRhVIguHR3-aNOJDbfJQP4_HI92Y0e1trpBHdieH0VJCZByeLqI0yi1hrpm9BXfyILmr6yGpLYWSwNav0XVxOeyDMl2k0NtKOK4keoz7fNx-6yTtpz9zQU5eD3rf7FzsYa72SyXfst5smAM.jZjicAPBqLc97SuyZWOU5B9mBBo-53Pxyu3CwEQSDX0&amp;dib_tag=se&amp;hvadid=654049856572&amp;hvdev=c&amp;hvlocphy=1003659&amp;hvnetw=g&amp;hvqmt=b&amp;hvrand=6082312663267296942&amp;hvtargid=kwd-1477923467500&amp;hydadcr=968_1015034380&amp;keywords=intel+core+i7+12th&amp;mcid=59fc4e561b2635b086738bc6d6d9ba0e&amp;qid=1760624958&amp;sr=8-1</t>
  </si>
  <si>
    <t>Procesador Intel Core i7 12700KF 12 núcleos (8P + 4E) / 20 hilos, 4.9GHz Turbo, Socket 1700</t>
  </si>
  <si>
    <t>$ 1.820.000,00</t>
  </si>
  <si>
    <t>$ 2.202.200,00</t>
  </si>
  <si>
    <t>$ 1.211,28</t>
  </si>
  <si>
    <t>Requiere tarjeta gráfica dedicada. Excelente para multitarea intensiva.</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</si>
  <si>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</si>
  <si>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</si>
  <si>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</si>
  <si>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</si>
  <si>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</si>
  <si>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</si>
  <si>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</si>
  <si>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</si>
  <si>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</si>
  <si>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</si>
  <si>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 xml:space="preserve">LOGITECH  </t>
  </si>
  <si>
    <t>https://www.logitech.com/es-ar/shop/p/mk270-wireless-keyboard-mouse</t>
  </si>
  <si>
    <t>Teclado y Mouse Inalámbrico Logitech MK270, conexión USB, alcance 10 m</t>
  </si>
  <si>
    <t>$ 125.000,00</t>
  </si>
  <si>
    <t>$ 148.750,00</t>
  </si>
  <si>
    <t>$ 62,80</t>
  </si>
  <si>
    <t>$ 2.370,00</t>
  </si>
  <si>
    <t>Incluye mouse inalámbrico. Compatible con Windows, ChromeOS y macOS.</t>
  </si>
  <si>
    <t>CLONES Y PERIFERICOS</t>
  </si>
  <si>
    <t>https://clonesyperifericos.com/comprar/teclado-mecanico-redragon-kumara-k552-rgb/?srsltid=AfmBOopAKMLMerXFtmP-6EjYSDn_m42NhwWAtjdth_w6oKqNw40YksXt</t>
  </si>
  <si>
    <t>Teclado Mecánico Redragon K552 Kumara RGB Outemu Blue Switch</t>
  </si>
  <si>
    <t>$ 178.000,00</t>
  </si>
  <si>
    <t>$ 211.820,00</t>
  </si>
  <si>
    <t>$ 89,40</t>
  </si>
  <si>
    <t>Retroiluminado RGB, estructura metálica, ideal para gaming intensivo</t>
  </si>
  <si>
    <t>MOUSE STAR</t>
  </si>
  <si>
    <t>https://www.mousestar.com.co/index.php/teclados-genius/</t>
  </si>
  <si>
    <t>Teclado Genius Smart KB-102 con cable USB, diseño ergonómico</t>
  </si>
  <si>
    <t>$ 58.000,00</t>
  </si>
  <si>
    <t>$ 69.580,00</t>
  </si>
  <si>
    <t>$ 29,35</t>
  </si>
  <si>
    <t>Diseño resistente a salpicaduras, teclas silenciosas y duraderas.</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</si>
  <si>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</si>
  <si>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</si>
  <si>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 xml:space="preserve"> </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</si>
  <si>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</si>
  <si>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</si>
  <si>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</si>
  <si>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</si>
  <si>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</si>
  <si>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</si>
  <si>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</si>
  <si>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</si>
  <si>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 xml:space="preserve">GAMERS COLOMBIA </t>
  </si>
  <si>
    <t>https://gamerscolombia.com/products/mouse-razer-deathadder-essential?srsltid=AfmBOoopMBbkqe2FgNCkKqia8YkzahwJiqc98MbYDZTW6UIGHP5raUU9</t>
  </si>
  <si>
    <t>Mouse Razer DeathAdder Essential, 6 Botones, 6400 DPI, ergonómico, LED Verde</t>
  </si>
  <si>
    <t>$ 142.800,00</t>
  </si>
  <si>
    <t>Diseño ergonómico clásico Razer con switches mecánicos duraderos</t>
  </si>
  <si>
    <t>TECNOPLAZA</t>
  </si>
  <si>
    <t>https://tecnoplaza.com.co/products/mouse-gamer-logitech-g502-hero-rgb-programable?srsltid=AfmBOop4hc_Qsolb0fKffyin9NDmTOC9jxTei-0K75Dc2xAEVBh093Bf</t>
  </si>
  <si>
    <t>Mouse Logitech G502 HERO, 11 Botones programables, 25.600 DPI, Sensor HERO</t>
  </si>
  <si>
    <t>$ 249.900,00</t>
  </si>
  <si>
    <t>Alta precisión profesional con pesos ajustables</t>
  </si>
  <si>
    <t>CORSAIR</t>
  </si>
  <si>
    <t>https://www.corsair.com/lm/es/p/gaming-mouse/ch-9309011-na/m65-rgb-elite-tunable-fps-gaming-mouse-a-black-ch-9309011-na?srsltid=AfmBOopi9HLK2Mu4n7_Muso7xpqHn_yA5STrLi-dOSr5b-xctVC2ek1v</t>
  </si>
  <si>
    <t>Mouse Corsair M65 RGB Elite, Sensor óptico 18.000 DPI, estructura de aluminio</t>
  </si>
  <si>
    <t>$ 273.700,00</t>
  </si>
  <si>
    <t>Sensor de precisión y cuerpo de aluminio ligero con retroiluminación RGB personalizable</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</si>
  <si>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</si>
  <si>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</si>
  <si>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</si>
  <si>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</si>
  <si>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</si>
  <si>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</si>
  <si>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</si>
  <si>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</si>
  <si>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</si>
  <si>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</si>
  <si>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 xml:space="preserve">LASUS </t>
  </si>
  <si>
    <t>https://lasus.com.co/es/windows-11-home-oem-64-bit-span-dvd-licencia-para-equipo-nuevo-no-transferible-incluye-dvd-de-instalacion?srsltid=AfmBOoo4z06pEy6pFuUuEkKvqMSryy9uIkcAWdZOEbR3ac3pj6GUpB1Y</t>
  </si>
  <si>
    <t>Microsoft Windows 11 Home 64 Bits OEM Español</t>
  </si>
  <si>
    <t>Licencia OEM, instalación local incluida</t>
  </si>
  <si>
    <t>COLOMBIA KEYS</t>
  </si>
  <si>
    <t>https://colombiakeys.com/producto/windows-10-pro-retail/?srsltid=AfmBOoqLOzk61OUmcS3HSHyAVAOVcdHicjXdPYmm-XKSdBgt2vtpHMR9</t>
  </si>
  <si>
    <t>Microsoft Windows 10 Pro 64 Bits Retail</t>
  </si>
  <si>
    <t>Licencia transferible, soporte técnico gratuito por 1 año</t>
  </si>
  <si>
    <t>https://www.amazon.com/-/es/Microsoft-Builder-Wind%D0%BEws-Intended-Authorized/dp/B09MYBD79G/ref=sr_1_2?adgrpid=166506553648&amp;dib=eyJ2IjoiMSJ9._1MPUOsQTzvbAEg64_2CZ1BX6WEJ4X6E6fNnc-Bc91sOl4GezAlWh6qH_2YExjQpBjPym87ZbRBdXTrcRyIlPsqvi7AALM7ZxGFS0NKjsI52MlH10j4lgYZsCqYqsdVAEi3L_MN0aqWqBD9arbx95_knm6v9FvkpIsqJLuFV6Crtdr1yO_ohrtVA_lLUgXdKmJFGO4qZ4H0pa3efur8dWd2xZj9svgdr7dpSub7w6e0.yo5Ko2RKVn-4Nsj8D6tSoZXnFyGIAvTNOomJjf0As-I&amp;dib_tag=se&amp;hvadid=696230395841&amp;hvdev=c&amp;hvlocphy=1003659&amp;hvnetw=g&amp;hvqmt=b&amp;hvrand=274261848246942020&amp;hvtargid=kwd-1438599897732&amp;hydadcr=1188_1015168686&amp;keywords=windows%2B11%2Bpro%2Bdvd&amp;mcid=18ea2a9b449c3e15b008b9f5ffbf3f0b&amp;qid=1760703916&amp;sr=8-2&amp;th=1</t>
  </si>
  <si>
    <t>Microsoft Windows 11 Pro 64 Bits USB FQC-10500</t>
  </si>
  <si>
    <t>Incluye DVD, no transferible, válido para una sola máquina</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</si>
  <si>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</si>
  <si>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</si>
  <si>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</si>
  <si>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</si>
  <si>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</si>
  <si>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</si>
  <si>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</si>
  <si>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</si>
  <si>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</si>
  <si>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</si>
  <si>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OLINE COMPUTER</t>
  </si>
  <si>
    <t xml:space="preserve">https://www.onlinecomputer.com.co/articulos/detalles/Visual-Studio-Pro-CSP-Bogota-Colombia
</t>
  </si>
  <si>
    <t>Licencia Visual Studio 2022 Professional</t>
  </si>
  <si>
    <t>Licencia original, válida para equipos empresariales.</t>
  </si>
  <si>
    <t>WIRE SOFT</t>
  </si>
  <si>
    <t>https://www.wiresoft.es/microsoft-visual-studio-2022-enterprise</t>
  </si>
  <si>
    <t>Licencia Visual Studio 2022 Enterprise</t>
  </si>
  <si>
    <t>Licencia perpetua, incluye soporte técnico por 1 año.</t>
  </si>
  <si>
    <t>LASUS</t>
  </si>
  <si>
    <t>https://lasus.com.co/es/visual-studio-professional-2022-nce-com-bas-per-1tm?srsltid=AfmBOor6mFO-_PHRG_-Ks7dH65QDA-BQMrF6VYutTEE7TLDLUQ5_3rn2</t>
  </si>
  <si>
    <t xml:space="preserve">Licencia Visual Studio Professional 2022 (NCE COM BAS PER 1TM)
</t>
  </si>
  <si>
    <t>Licencia completa con integración en la nube, ideal para equipos de desarrollo colaborativo.</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</si>
  <si>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</si>
  <si>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</si>
  <si>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</si>
  <si>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</si>
  <si>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</si>
  <si>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</si>
  <si>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</si>
  <si>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</si>
  <si>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</si>
  <si>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</si>
  <si>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REVOLUTION SOFT COLOMBIA</t>
  </si>
  <si>
    <t>https://revolutionsoft.com.co/windows-11/windows-11-pro.html?srsltid=AfmBOopkRtlirxEV5Bf6EDQHX_mpuBUa0uwrzXfhnRzbIC3H3An5xOON</t>
  </si>
  <si>
    <t xml:space="preserve">Licencia Windows 11 Pro 64 Bits OEM Vitalicia
</t>
  </si>
  <si>
    <t>Licencia original con activación permanente.</t>
  </si>
  <si>
    <t>COMPUDEMANO</t>
  </si>
  <si>
    <t>https://www.compudemano.com/producto/microsoft-windows-10-pro/?srsltid=AfmBOoqPuOZ6qGTvc77wPFfisrw0iAmGtRTtRLvt2Qww-hzgBzrxbnah</t>
  </si>
  <si>
    <t>Licencia Windows 10 Pro ESD Vitalicia</t>
  </si>
  <si>
    <t>Activación online inmediata, licencia digital perpetua.</t>
  </si>
  <si>
    <t>https://www.amazon.com/-/es/Microsoft-Builder-Wind%D0%BEws-Intended-Authorized/dp/B09MYBD79G/ref=sr_1_1?adgrpid=166506553648&amp;dib=eyJ2IjoiMSJ9._1MPUOsQTzvbAEg64_2CZ1BX6WEJ4X6E6fNnc-Bc91sOl4GezAlWh6qH_2YExjQpBjPym87ZbRBdXTrcRyIlPsqvi7AALM7ZxGFS0NKjsI7qu_jHF5qaJ2WoUN1SVAOEvRi_df6ZSi4zgku301AGrvknm6v9FvkpIsqJLuFV6Crtdr1yO_ohrtVA_lLUgXdKmJFGO4qZ4H0pa3efur8dWd2xZj9svgdr7dpSub7w6e0.l3uTxLKdNU1ifix2L1blon8YYZbJ517an1jQBfMyk1Q&amp;dib_tag=se&amp;hvadid=696230395844&amp;hvdev=c&amp;hvlocphy=1003659&amp;hvnetw=g&amp;hvqmt=b&amp;hvrand=8962842745818376685&amp;hvtargid=kwd-1438599897732&amp;hydadcr=1188_1015033233&amp;keywords=windows%2B11%2Bpro%2Bdvd&amp;mcid=18ea2a9b449c3e15b008b9f5ffbf3f0b&amp;qid=1760709036&amp;sr=8-1&amp;th=1</t>
  </si>
  <si>
    <t>Windows 11 Pro Retail (descarga oficial)</t>
  </si>
  <si>
    <t>Licencia original de Microsoft, incluye actualizaciones automáticas.</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</si>
  <si>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</si>
  <si>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</si>
  <si>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</si>
  <si>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</si>
  <si>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</si>
  <si>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</si>
  <si>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</si>
  <si>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</si>
  <si>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</si>
  <si>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</si>
  <si>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 xml:space="preserve">SYSTORE COLOMBIA </t>
  </si>
  <si>
    <t>https://systorecolombia.com/server/919-licencia-sql-server-standard-2022-perpetua-dg7gmgf0fkx9.html</t>
  </si>
  <si>
    <t>Licencia SQL Server 2022 Standard – 1 CAL</t>
  </si>
  <si>
    <t>Licencia original, incluye soporte de instalación remoto.</t>
  </si>
  <si>
    <t>https://lasus.com.co/es/43728-dg7gmgf0m7xv-0003_nfp-licencia-core-sql-server-2022-enterprise-paquete-de-2-n-cleos-nce-nfp-bas-per-1tm-?srsltid=AfmBOophBtNC7l4llyMw7egPBjDhIrwnTQMLxbjnJM3xzhhyYIo9buCT</t>
  </si>
  <si>
    <t>Licencia SQL Server 2022 Enterprise – 2 CAL</t>
  </si>
  <si>
    <t>Licencia para servidor con dos usuarios, actualizaciones incluidas.</t>
  </si>
  <si>
    <t>https://systorecolombia.com/server/252-licencia-sql-server-standard-2019-perpetua-dg7gmgf0fkx9.html</t>
  </si>
  <si>
    <t xml:space="preserve">SQL Server 2022 Developer </t>
  </si>
  <si>
    <t>Licencia gratuita para desarrollo y pruebas, no apta para producción.</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</si>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</sst>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_-[$$-240A]\ * #,##0.00_-;\-[$$-240A]\ * #,##0.00_-;_-[$$-240A]\ * &quot;-&quot;??_-;_-@"/>
    <numFmt numFmtId="165" formatCode="_([$$-409]* #,##0.00_);_([$$-409]* \(#,##0.00\);_([$$-409]* &quot;-&quot;??_);_(@_)"/>
    <numFmt numFmtId="166" formatCode="_-[$$-409]* #,##0.00_ ;_-[$$-409]* \-#,##0.00\ ;_-[$$-409]* &quot;-&quot;??_ ;_-@_ "/>
    <numFmt numFmtId="167" formatCode="&quot;$&quot;#,##0.00_);[Red]\(&quot;$&quot;#,##0.00\)"/>
    <numFmt numFmtId="168" formatCode="&quot;$&quot;#,##0_);[Red]\(&quot;$&quot;#,##0\)"/>
    <numFmt numFmtId="169" formatCode="&quot;$&quot;\ #,##0;[Red]\-&quot;$&quot;\ #,##0"/>
    <numFmt numFmtId="170" formatCode="_(&quot;$&quot;* #,##0.00_);_(&quot;$&quot;* \(#,##0.00\);_(&quot;$&quot;* &quot;-&quot;??_);_(@_)"/>
    <numFmt numFmtId="171" formatCode="_-* #,##0.00_-;\-* #,##0.00_-;_-* &quot;-&quot;??_-;_-@"/>
  </numFmts>
  <fonts count="51">
    <font>
      <sz val="10.0"/>
      <color rgb="FF000000"/>
      <name val="Arial"/>
      <scheme val="minor"/>
    </font>
    <font>
      <sz val="10.0"/>
      <color theme="1"/>
      <name val="Arial"/>
    </font>
    <font>
      <b/>
      <sz val="12.0"/>
      <color theme="1"/>
      <name val="Arial"/>
    </font>
    <font/>
    <font>
      <b/>
      <sz val="10.0"/>
      <color theme="1"/>
      <name val="Arial"/>
    </font>
    <font>
      <b/>
      <sz val="10.0"/>
      <color theme="1"/>
      <name val="Trebuchet MS"/>
    </font>
    <font>
      <b/>
      <u/>
      <sz val="10.0"/>
      <color theme="1"/>
      <name val="Trebuchet MS"/>
    </font>
    <font>
      <i/>
      <sz val="10.0"/>
      <color theme="1"/>
      <name val="Arial"/>
    </font>
    <font>
      <sz val="10.0"/>
      <color rgb="FF000000"/>
      <name val="Trebuchet MS"/>
    </font>
    <font>
      <u/>
      <sz val="10.0"/>
      <color theme="10"/>
      <name val="Arial"/>
    </font>
    <font>
      <sz val="10.0"/>
      <color rgb="FF000000"/>
      <name val="Arial"/>
    </font>
    <font>
      <u/>
      <sz val="10.0"/>
      <color rgb="FF000000"/>
      <name val="Trebuchet MS"/>
    </font>
    <font>
      <sz val="10.0"/>
      <color theme="1"/>
      <name val="Trebuchet MS"/>
    </font>
    <font>
      <sz val="10.0"/>
      <color theme="1"/>
      <name val="Proxima Nova"/>
    </font>
    <font>
      <sz val="10.0"/>
      <color rgb="FF231F20"/>
      <name val="Trebuchet MS"/>
    </font>
    <font>
      <sz val="10.0"/>
      <color rgb="FF3C4B71"/>
      <name val="Arial"/>
    </font>
    <font>
      <b/>
      <sz val="10.0"/>
      <color theme="1"/>
      <name val="Open Sans"/>
    </font>
    <font>
      <sz val="10.0"/>
      <color rgb="FF222222"/>
      <name val="Inherit"/>
    </font>
    <font>
      <sz val="10.0"/>
      <color theme="1"/>
      <name val="Montserrat"/>
    </font>
    <font>
      <sz val="10.0"/>
      <color theme="1"/>
      <name val="Arial Narrow"/>
    </font>
    <font>
      <b/>
      <u/>
      <sz val="10.0"/>
      <color theme="1"/>
      <name val="Arial"/>
    </font>
    <font>
      <u/>
      <sz val="10.0"/>
      <color theme="10"/>
      <name val="Arial"/>
    </font>
    <font>
      <u/>
      <sz val="10.0"/>
      <color rgb="FF000000"/>
      <name val="Arial"/>
    </font>
    <font>
      <u/>
      <sz val="10.0"/>
      <color theme="10"/>
      <name val="Arial"/>
    </font>
    <font>
      <sz val="10.0"/>
      <color rgb="FF444444"/>
      <name val="Arial"/>
    </font>
    <font>
      <b/>
      <u/>
      <sz val="10.0"/>
      <color theme="1"/>
      <name val="Trebuchet MS"/>
    </font>
    <font>
      <sz val="10.0"/>
      <color rgb="FF231F20"/>
      <name val="Arial"/>
    </font>
    <font>
      <sz val="10.0"/>
      <color rgb="FF333333"/>
      <name val="Arial"/>
    </font>
    <font>
      <u/>
      <sz val="10.0"/>
      <color rgb="FF800080"/>
      <name val="Arial"/>
    </font>
    <font>
      <sz val="10.0"/>
      <color rgb="FF666666"/>
      <name val="Arial"/>
    </font>
    <font>
      <b/>
      <sz val="10.0"/>
      <color rgb="FF333E48"/>
      <name val="Arial"/>
    </font>
    <font>
      <sz val="10.0"/>
      <color rgb="FF333E48"/>
      <name val="Arial"/>
    </font>
    <font>
      <sz val="11.0"/>
      <color rgb="FF000000"/>
      <name val="Arial"/>
    </font>
    <font>
      <sz val="10.0"/>
      <color rgb="FF4A4A4A"/>
      <name val="Arial"/>
    </font>
    <font>
      <sz val="11.0"/>
      <color rgb="FF231F20"/>
      <name val="Arial"/>
    </font>
    <font>
      <u/>
      <sz val="10.0"/>
      <color rgb="FF000000"/>
      <name val="Arial"/>
    </font>
    <font>
      <u/>
      <sz val="10.0"/>
      <color rgb="FF000000"/>
      <name val="Arial"/>
    </font>
    <font>
      <sz val="10.0"/>
      <color rgb="FF0F1111"/>
      <name val="Arial"/>
    </font>
    <font>
      <color theme="1"/>
      <name val="Arial"/>
      <scheme val="minor"/>
    </font>
    <font>
      <u/>
      <sz val="10.0"/>
      <color rgb="FF0000FF"/>
      <name val="Arial"/>
    </font>
    <font>
      <u/>
      <sz val="10.0"/>
      <color theme="1"/>
      <name val="Arial"/>
    </font>
    <font>
      <u/>
      <sz val="10.0"/>
      <color theme="1"/>
      <name val="Arial"/>
    </font>
    <font>
      <u/>
      <sz val="10.0"/>
      <color theme="1"/>
      <name val="Arial"/>
    </font>
    <font>
      <u/>
      <sz val="10.0"/>
      <color theme="10"/>
      <name val="Arial"/>
    </font>
    <font>
      <u/>
      <sz val="10.0"/>
      <color theme="1"/>
      <name val="Arial"/>
    </font>
    <font>
      <sz val="9.0"/>
      <color theme="1"/>
      <name val="Arial"/>
    </font>
    <font>
      <u/>
      <sz val="9.0"/>
      <color theme="1"/>
      <name val="Arial"/>
    </font>
    <font>
      <u/>
      <sz val="10.0"/>
      <color theme="10"/>
      <name val="Arial"/>
    </font>
    <font>
      <u/>
      <sz val="10.0"/>
      <color theme="1"/>
      <name val="Arial"/>
    </font>
    <font>
      <u/>
      <sz val="10.0"/>
      <color theme="10"/>
      <name val="Arial"/>
    </font>
    <font>
      <u/>
      <sz val="10.0"/>
      <color rgb="FF0000FF"/>
      <name val="Arial"/>
    </font>
  </fonts>
  <fills count="10">
    <fill>
      <patternFill patternType="none"/>
    </fill>
    <fill>
      <patternFill patternType="lightGray"/>
    </fill>
    <fill>
      <patternFill patternType="solid">
        <fgColor rgb="FFC0C0C0"/>
        <bgColor rgb="FFC0C0C0"/>
      </patternFill>
    </fill>
    <fill>
      <patternFill patternType="solid">
        <fgColor rgb="FFFFFF99"/>
        <bgColor rgb="FFFFFF99"/>
      </patternFill>
    </fill>
    <fill>
      <patternFill patternType="solid">
        <fgColor rgb="FFFFCC00"/>
        <bgColor rgb="FFFFCC00"/>
      </patternFill>
    </fill>
    <fill>
      <patternFill patternType="solid">
        <fgColor rgb="FFCCFFCC"/>
        <bgColor rgb="FFCCFFCC"/>
      </patternFill>
    </fill>
    <fill>
      <patternFill patternType="solid">
        <fgColor rgb="FFFFFFFF"/>
        <bgColor rgb="FFFFFFFF"/>
      </patternFill>
    </fill>
    <fill>
      <patternFill patternType="solid">
        <fgColor rgb="FFF5F5F5"/>
        <bgColor rgb="FFF5F5F5"/>
      </patternFill>
    </fill>
    <fill>
      <patternFill patternType="solid">
        <fgColor rgb="FFEFEFEF"/>
        <bgColor rgb="FFEFEFEF"/>
      </patternFill>
    </fill>
    <fill>
      <patternFill patternType="solid">
        <fgColor rgb="FFF8F8F8"/>
        <bgColor rgb="FFF8F8F8"/>
      </patternFill>
    </fill>
  </fills>
  <borders count="11">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
      <left style="thin">
        <color rgb="FF000000"/>
      </left>
      <right/>
      <top style="thin">
        <color rgb="FF000000"/>
      </top>
      <bottom/>
    </border>
    <border>
      <left style="thin">
        <color rgb="FF000000"/>
      </left>
      <right style="thin">
        <color rgb="FF000000"/>
      </right>
      <bottom style="thin">
        <color rgb="FF000000"/>
      </bottom>
    </border>
  </borders>
  <cellStyleXfs count="1">
    <xf borderId="0" fillId="0" fontId="0" numFmtId="0" applyAlignment="1" applyFont="1"/>
  </cellStyleXfs>
  <cellXfs count="123">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center" vertical="center"/>
    </xf>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3" fontId="4" numFmtId="0" xfId="0" applyAlignment="1" applyBorder="1" applyFill="1" applyFont="1">
      <alignment horizontal="center" shrinkToFit="0" vertical="center" wrapText="1"/>
    </xf>
    <xf borderId="4" fillId="0" fontId="5" numFmtId="0" xfId="0" applyAlignment="1" applyBorder="1" applyFont="1">
      <alignment horizontal="center" shrinkToFit="0" vertical="center" wrapText="1"/>
    </xf>
    <xf borderId="4" fillId="4" fontId="6" numFmtId="0" xfId="0" applyAlignment="1" applyBorder="1" applyFill="1" applyFont="1">
      <alignment horizontal="center" shrinkToFit="0" vertical="center" wrapText="1"/>
    </xf>
    <xf borderId="5" fillId="5" fontId="4" numFmtId="0" xfId="0" applyAlignment="1" applyBorder="1" applyFill="1" applyFont="1">
      <alignment horizontal="center" shrinkToFit="0" vertical="center" wrapText="1"/>
    </xf>
    <xf borderId="0" fillId="0" fontId="7" numFmtId="0" xfId="0" applyAlignment="1" applyFont="1">
      <alignment horizontal="center" vertical="center"/>
    </xf>
    <xf borderId="4" fillId="0" fontId="4" numFmtId="0" xfId="0" applyAlignment="1" applyBorder="1" applyFont="1">
      <alignment horizontal="center" vertical="center"/>
    </xf>
    <xf borderId="4" fillId="0" fontId="8" numFmtId="0" xfId="0" applyAlignment="1" applyBorder="1" applyFont="1">
      <alignment horizontal="center" shrinkToFit="0" vertical="center" wrapText="1"/>
    </xf>
    <xf borderId="4" fillId="0" fontId="9" numFmtId="0" xfId="0" applyAlignment="1" applyBorder="1" applyFont="1">
      <alignment horizontal="center" shrinkToFit="0" vertical="center" wrapText="1"/>
    </xf>
    <xf borderId="4" fillId="6" fontId="10" numFmtId="0" xfId="0" applyAlignment="1" applyBorder="1" applyFill="1" applyFont="1">
      <alignment horizontal="center" shrinkToFit="0" vertical="center" wrapText="1"/>
    </xf>
    <xf borderId="4" fillId="0" fontId="8" numFmtId="164" xfId="0" applyAlignment="1" applyBorder="1" applyFont="1" applyNumberFormat="1">
      <alignment horizontal="center" shrinkToFit="0" vertical="center" wrapText="1"/>
    </xf>
    <xf borderId="4" fillId="0" fontId="8" numFmtId="165" xfId="0" applyAlignment="1" applyBorder="1" applyFont="1" applyNumberFormat="1">
      <alignment horizontal="center" shrinkToFit="0" vertical="center" wrapText="1"/>
    </xf>
    <xf borderId="4" fillId="0" fontId="11" numFmtId="166" xfId="0" applyAlignment="1" applyBorder="1" applyFont="1" applyNumberFormat="1">
      <alignment horizontal="center" shrinkToFit="0" vertical="center" wrapText="1"/>
    </xf>
    <xf borderId="4" fillId="0" fontId="12" numFmtId="0" xfId="0" applyAlignment="1" applyBorder="1" applyFont="1">
      <alignment horizontal="center" shrinkToFit="0" vertical="top" wrapText="1"/>
    </xf>
    <xf borderId="6" fillId="6" fontId="13" numFmtId="0" xfId="0" applyAlignment="1" applyBorder="1" applyFont="1">
      <alignment horizontal="center" shrinkToFit="0" vertical="center" wrapText="1"/>
    </xf>
    <xf borderId="4" fillId="0" fontId="14" numFmtId="0" xfId="0" applyAlignment="1" applyBorder="1" applyFont="1">
      <alignment horizontal="center" shrinkToFit="0" vertical="center" wrapText="1"/>
    </xf>
    <xf borderId="4" fillId="6" fontId="15" numFmtId="0" xfId="0" applyAlignment="1" applyBorder="1" applyFont="1">
      <alignment horizontal="center" shrinkToFit="0" vertical="center" wrapText="1"/>
    </xf>
    <xf borderId="6" fillId="6" fontId="16" numFmtId="0" xfId="0" applyAlignment="1" applyBorder="1" applyFont="1">
      <alignment horizontal="center" shrinkToFit="0" vertical="center" wrapText="1"/>
    </xf>
    <xf borderId="4" fillId="6" fontId="17" numFmtId="0" xfId="0" applyAlignment="1" applyBorder="1" applyFont="1">
      <alignment horizontal="center" shrinkToFit="0" vertical="center" wrapText="1"/>
    </xf>
    <xf borderId="6" fillId="6" fontId="18" numFmtId="0" xfId="0" applyAlignment="1" applyBorder="1" applyFont="1">
      <alignment horizontal="center" shrinkToFit="0" vertical="center" wrapText="1"/>
    </xf>
    <xf borderId="4" fillId="0" fontId="1" numFmtId="0" xfId="0" applyBorder="1" applyFont="1"/>
    <xf borderId="4" fillId="0" fontId="12" numFmtId="0" xfId="0" applyAlignment="1" applyBorder="1" applyFont="1">
      <alignment horizontal="left" shrinkToFit="0" vertical="top" wrapText="1"/>
    </xf>
    <xf borderId="1" fillId="0" fontId="4" numFmtId="0" xfId="0" applyAlignment="1" applyBorder="1" applyFont="1">
      <alignment horizontal="left" shrinkToFit="0" vertical="center" wrapText="1"/>
    </xf>
    <xf borderId="0" fillId="0" fontId="19" numFmtId="0" xfId="0" applyAlignment="1" applyFont="1">
      <alignment horizontal="center" shrinkToFit="0" vertical="center" wrapText="1"/>
    </xf>
    <xf borderId="4" fillId="0" fontId="4" numFmtId="0" xfId="0" applyAlignment="1" applyBorder="1" applyFont="1">
      <alignment horizontal="center" shrinkToFit="0" vertical="center" wrapText="1"/>
    </xf>
    <xf borderId="4" fillId="4" fontId="20" numFmtId="0" xfId="0" applyAlignment="1" applyBorder="1" applyFont="1">
      <alignment horizontal="center" shrinkToFit="0" vertical="center" wrapText="1"/>
    </xf>
    <xf borderId="1" fillId="0" fontId="10" numFmtId="0" xfId="0" applyAlignment="1" applyBorder="1" applyFont="1">
      <alignment horizontal="center" shrinkToFit="0" vertical="center" wrapText="1"/>
    </xf>
    <xf borderId="7" fillId="0" fontId="21" numFmtId="0" xfId="0" applyAlignment="1" applyBorder="1" applyFont="1">
      <alignment shrinkToFit="0" vertical="center" wrapText="1"/>
    </xf>
    <xf borderId="4" fillId="0" fontId="10" numFmtId="0" xfId="0" applyAlignment="1" applyBorder="1" applyFont="1">
      <alignment horizontal="center" shrinkToFit="0" vertical="center" wrapText="1"/>
    </xf>
    <xf borderId="4" fillId="0" fontId="10" numFmtId="167" xfId="0" applyAlignment="1" applyBorder="1" applyFont="1" applyNumberFormat="1">
      <alignment horizontal="center" shrinkToFit="0" vertical="center" wrapText="1"/>
    </xf>
    <xf borderId="4" fillId="0" fontId="1" numFmtId="165" xfId="0" applyAlignment="1" applyBorder="1" applyFont="1" applyNumberFormat="1">
      <alignment horizontal="center" shrinkToFit="0" vertical="top" wrapText="1"/>
    </xf>
    <xf borderId="4" fillId="6" fontId="22" numFmtId="166" xfId="0" applyAlignment="1" applyBorder="1" applyFont="1" applyNumberFormat="1">
      <alignment horizontal="center" shrinkToFit="0" vertical="center" wrapText="1"/>
    </xf>
    <xf borderId="4" fillId="6" fontId="10" numFmtId="0" xfId="0" applyAlignment="1" applyBorder="1" applyFont="1">
      <alignment shrinkToFit="0" vertical="center" wrapText="1"/>
    </xf>
    <xf borderId="4" fillId="6" fontId="23" numFmtId="0" xfId="0" applyAlignment="1" applyBorder="1" applyFont="1">
      <alignment horizontal="center" shrinkToFit="0" vertical="center" wrapText="1"/>
    </xf>
    <xf borderId="6" fillId="6" fontId="24" numFmtId="0" xfId="0" applyAlignment="1" applyBorder="1" applyFont="1">
      <alignment horizontal="center" shrinkToFit="0" vertical="center" wrapText="1"/>
    </xf>
    <xf borderId="4" fillId="7" fontId="24" numFmtId="0" xfId="0" applyAlignment="1" applyBorder="1" applyFill="1" applyFont="1">
      <alignment shrinkToFit="0" vertical="center" wrapText="1"/>
    </xf>
    <xf borderId="4" fillId="6" fontId="24" numFmtId="0" xfId="0" applyAlignment="1" applyBorder="1" applyFont="1">
      <alignment horizontal="center" shrinkToFit="0" vertical="center" wrapText="1"/>
    </xf>
    <xf borderId="4" fillId="0" fontId="10" numFmtId="168" xfId="0" applyAlignment="1" applyBorder="1" applyFont="1" applyNumberFormat="1">
      <alignment horizontal="center" shrinkToFit="0" vertical="center" wrapText="1"/>
    </xf>
    <xf borderId="8" fillId="3" fontId="4" numFmtId="0" xfId="0" applyAlignment="1" applyBorder="1" applyFont="1">
      <alignment horizontal="center" shrinkToFit="0" vertical="center" wrapText="1"/>
    </xf>
    <xf borderId="7" fillId="0" fontId="5" numFmtId="0" xfId="0" applyAlignment="1" applyBorder="1" applyFont="1">
      <alignment horizontal="center" shrinkToFit="0" vertical="center" wrapText="1"/>
    </xf>
    <xf borderId="8" fillId="4" fontId="25" numFmtId="0" xfId="0" applyAlignment="1" applyBorder="1" applyFont="1">
      <alignment horizontal="center" shrinkToFit="0" vertical="center" wrapText="1"/>
    </xf>
    <xf borderId="9" fillId="5" fontId="4" numFmtId="0" xfId="0" applyAlignment="1" applyBorder="1" applyFont="1">
      <alignment horizontal="center" shrinkToFit="0" vertical="center" wrapText="1"/>
    </xf>
    <xf borderId="4" fillId="6" fontId="10" numFmtId="0" xfId="0" applyAlignment="1" applyBorder="1" applyFont="1">
      <alignment horizontal="center" shrinkToFit="0" wrapText="1"/>
    </xf>
    <xf borderId="4" fillId="0" fontId="26" numFmtId="0" xfId="0" applyAlignment="1" applyBorder="1" applyFont="1">
      <alignment horizontal="center" shrinkToFit="0" vertical="center" wrapText="1"/>
    </xf>
    <xf borderId="4" fillId="6" fontId="27" numFmtId="0" xfId="0" applyAlignment="1" applyBorder="1" applyFont="1">
      <alignment horizontal="center" shrinkToFit="0" vertical="center" wrapText="1"/>
    </xf>
    <xf borderId="4" fillId="0" fontId="10" numFmtId="169" xfId="0" applyAlignment="1" applyBorder="1" applyFont="1" applyNumberFormat="1">
      <alignment horizontal="center" shrinkToFit="0" vertical="center" wrapText="1"/>
    </xf>
    <xf borderId="7" fillId="6" fontId="27" numFmtId="0" xfId="0" applyAlignment="1" applyBorder="1" applyFont="1">
      <alignment horizontal="center" shrinkToFit="0" wrapText="1"/>
    </xf>
    <xf borderId="7" fillId="0" fontId="10" numFmtId="0" xfId="0" applyAlignment="1" applyBorder="1" applyFont="1">
      <alignment horizontal="center" shrinkToFit="0" vertical="center" wrapText="1"/>
    </xf>
    <xf borderId="7" fillId="0" fontId="10" numFmtId="3" xfId="0" applyAlignment="1" applyBorder="1" applyFont="1" applyNumberFormat="1">
      <alignment horizontal="center" shrinkToFit="0" vertical="center" wrapText="1"/>
    </xf>
    <xf borderId="7" fillId="0" fontId="10" numFmtId="169" xfId="0" applyAlignment="1" applyBorder="1" applyFont="1" applyNumberFormat="1">
      <alignment horizontal="center" shrinkToFit="0" vertical="center" wrapText="1"/>
    </xf>
    <xf borderId="10" fillId="0" fontId="3" numFmtId="0" xfId="0" applyBorder="1" applyFont="1"/>
    <xf borderId="4" fillId="0" fontId="1" numFmtId="0" xfId="0" applyAlignment="1" applyBorder="1" applyFont="1">
      <alignment horizontal="left" shrinkToFit="0" vertical="top" wrapText="1"/>
    </xf>
    <xf borderId="1" fillId="0" fontId="4" numFmtId="0" xfId="0" applyAlignment="1" applyBorder="1" applyFont="1">
      <alignment horizontal="center" vertical="center"/>
    </xf>
    <xf borderId="4" fillId="0" fontId="28" numFmtId="0" xfId="0" applyAlignment="1" applyBorder="1" applyFont="1">
      <alignment horizontal="center" shrinkToFit="0" vertical="center" wrapText="1"/>
    </xf>
    <xf borderId="4" fillId="6" fontId="10" numFmtId="164" xfId="0" applyAlignment="1" applyBorder="1" applyFont="1" applyNumberFormat="1">
      <alignment horizontal="center" shrinkToFit="0" vertical="center" wrapText="1"/>
    </xf>
    <xf borderId="4" fillId="0" fontId="10" numFmtId="164" xfId="0" applyAlignment="1" applyBorder="1" applyFont="1" applyNumberFormat="1">
      <alignment horizontal="center" shrinkToFit="0" vertical="center" wrapText="1"/>
    </xf>
    <xf borderId="4" fillId="0" fontId="10" numFmtId="165" xfId="0" applyAlignment="1" applyBorder="1" applyFont="1" applyNumberFormat="1">
      <alignment horizontal="center" shrinkToFit="0" vertical="top" wrapText="1"/>
    </xf>
    <xf borderId="10" fillId="0" fontId="12" numFmtId="0" xfId="0" applyAlignment="1" applyBorder="1" applyFont="1">
      <alignment horizontal="left" shrinkToFit="0" vertical="top" wrapText="1"/>
    </xf>
    <xf borderId="9" fillId="5" fontId="4" numFmtId="165" xfId="0" applyAlignment="1" applyBorder="1" applyFont="1" applyNumberFormat="1">
      <alignment horizontal="center" shrinkToFit="0" vertical="center" wrapText="1"/>
    </xf>
    <xf borderId="4" fillId="6" fontId="29" numFmtId="0" xfId="0" applyAlignment="1" applyBorder="1" applyFont="1">
      <alignment horizontal="center" shrinkToFit="0" vertical="center" wrapText="1"/>
    </xf>
    <xf borderId="4" fillId="0" fontId="1" numFmtId="165" xfId="0" applyAlignment="1" applyBorder="1" applyFont="1" applyNumberFormat="1">
      <alignment horizontal="center" readingOrder="0" shrinkToFit="0" vertical="top" wrapText="1"/>
    </xf>
    <xf borderId="4" fillId="6" fontId="30" numFmtId="0" xfId="0" applyAlignment="1" applyBorder="1" applyFont="1">
      <alignment horizontal="center" shrinkToFit="0" vertical="center" wrapText="1"/>
    </xf>
    <xf borderId="4" fillId="6" fontId="31" numFmtId="0" xfId="0" applyAlignment="1" applyBorder="1" applyFont="1">
      <alignment horizontal="center" shrinkToFit="0" vertical="center" wrapText="1"/>
    </xf>
    <xf borderId="1" fillId="0" fontId="2" numFmtId="0" xfId="0" applyAlignment="1" applyBorder="1" applyFont="1">
      <alignment horizontal="center" shrinkToFit="0" vertical="center" wrapText="1"/>
    </xf>
    <xf borderId="4" fillId="0" fontId="32" numFmtId="0" xfId="0" applyAlignment="1" applyBorder="1" applyFont="1">
      <alignment horizontal="center" shrinkToFit="0" vertical="center" wrapText="1"/>
    </xf>
    <xf borderId="4" fillId="6" fontId="33" numFmtId="164" xfId="0" applyAlignment="1" applyBorder="1" applyFont="1" applyNumberFormat="1">
      <alignment horizontal="center" shrinkToFit="0" vertical="center" wrapText="1"/>
    </xf>
    <xf borderId="4" fillId="6" fontId="27" numFmtId="0" xfId="0" applyAlignment="1" applyBorder="1" applyFont="1">
      <alignment shrinkToFit="0" vertical="center" wrapText="1"/>
    </xf>
    <xf borderId="4" fillId="0" fontId="34" numFmtId="0" xfId="0" applyAlignment="1" applyBorder="1" applyFont="1">
      <alignment horizontal="center" shrinkToFit="0" vertical="center" wrapText="1"/>
    </xf>
    <xf borderId="4" fillId="6" fontId="1" numFmtId="164" xfId="0" applyAlignment="1" applyBorder="1" applyFont="1" applyNumberFormat="1">
      <alignment horizontal="center" shrinkToFit="0" vertical="center" wrapText="1"/>
    </xf>
    <xf borderId="7" fillId="0" fontId="32" numFmtId="0" xfId="0" applyAlignment="1" applyBorder="1" applyFont="1">
      <alignment horizontal="center" shrinkToFit="0" vertical="center" wrapText="1"/>
    </xf>
    <xf borderId="7" fillId="0" fontId="10" numFmtId="164" xfId="0" applyAlignment="1" applyBorder="1" applyFont="1" applyNumberFormat="1">
      <alignment horizontal="center" shrinkToFit="0" vertical="center" wrapText="1"/>
    </xf>
    <xf borderId="4" fillId="0" fontId="10" numFmtId="0" xfId="0" applyAlignment="1" applyBorder="1" applyFont="1">
      <alignment horizontal="left" shrinkToFit="0" vertical="center" wrapText="1"/>
    </xf>
    <xf borderId="1" fillId="0" fontId="1" numFmtId="0" xfId="0" applyBorder="1" applyFont="1"/>
    <xf borderId="4" fillId="0" fontId="35" numFmtId="0" xfId="0" applyAlignment="1" applyBorder="1" applyFont="1">
      <alignment horizontal="center" shrinkToFit="0" vertical="center" wrapText="1"/>
    </xf>
    <xf borderId="5" fillId="6" fontId="36" numFmtId="166" xfId="0" applyAlignment="1" applyBorder="1" applyFont="1" applyNumberFormat="1">
      <alignment horizontal="center" shrinkToFit="0" vertical="center" wrapText="1"/>
    </xf>
    <xf borderId="4" fillId="0" fontId="10" numFmtId="0" xfId="0" applyAlignment="1" applyBorder="1" applyFont="1">
      <alignment horizontal="center" vertical="center"/>
    </xf>
    <xf borderId="6" fillId="6" fontId="10" numFmtId="0" xfId="0" applyAlignment="1" applyBorder="1" applyFont="1">
      <alignment horizontal="center" shrinkToFit="0" vertical="center" wrapText="1"/>
    </xf>
    <xf borderId="6" fillId="6" fontId="37" numFmtId="0" xfId="0" applyAlignment="1" applyBorder="1" applyFont="1">
      <alignment horizontal="center" shrinkToFit="0" vertical="center" wrapText="1"/>
    </xf>
    <xf borderId="6" fillId="6" fontId="29" numFmtId="0" xfId="0" applyAlignment="1" applyBorder="1" applyFont="1">
      <alignment horizontal="center" shrinkToFit="0" vertical="center" wrapText="1"/>
    </xf>
    <xf borderId="0" fillId="0" fontId="38" numFmtId="0" xfId="0" applyFont="1"/>
    <xf borderId="4" fillId="7" fontId="24" numFmtId="0" xfId="0" applyAlignment="1" applyBorder="1" applyFont="1">
      <alignment horizontal="center" shrinkToFit="0" vertical="center" wrapText="1"/>
    </xf>
    <xf borderId="4" fillId="0" fontId="1" numFmtId="0" xfId="0" applyAlignment="1" applyBorder="1" applyFont="1">
      <alignment horizontal="center" shrinkToFit="0" vertical="center" wrapText="1"/>
    </xf>
    <xf borderId="4" fillId="0" fontId="39" numFmtId="0" xfId="0" applyAlignment="1" applyBorder="1" applyFont="1">
      <alignment horizontal="center" shrinkToFit="0" vertical="center" wrapText="1"/>
    </xf>
    <xf borderId="4" fillId="6" fontId="1" numFmtId="0" xfId="0" applyAlignment="1" applyBorder="1" applyFont="1">
      <alignment horizontal="center" shrinkToFit="0" vertical="center" wrapText="1"/>
    </xf>
    <xf borderId="4" fillId="0" fontId="1" numFmtId="164" xfId="0" applyAlignment="1" applyBorder="1" applyFont="1" applyNumberFormat="1">
      <alignment horizontal="center" shrinkToFit="0" vertical="center" wrapText="1"/>
    </xf>
    <xf borderId="4" fillId="0" fontId="1" numFmtId="170" xfId="0" applyAlignment="1" applyBorder="1" applyFont="1" applyNumberFormat="1">
      <alignment horizontal="center" shrinkToFit="0" vertical="center" wrapText="1"/>
    </xf>
    <xf borderId="4" fillId="6" fontId="40" numFmtId="171" xfId="0" applyAlignment="1" applyBorder="1" applyFont="1" applyNumberFormat="1">
      <alignment horizontal="center" shrinkToFit="0" vertical="center" wrapText="1"/>
    </xf>
    <xf borderId="4" fillId="6" fontId="1" numFmtId="165" xfId="0" applyAlignment="1" applyBorder="1" applyFont="1" applyNumberFormat="1">
      <alignment horizontal="center" shrinkToFit="0" vertical="center" wrapText="1"/>
    </xf>
    <xf borderId="4" fillId="6" fontId="41" numFmtId="166" xfId="0" applyAlignment="1" applyBorder="1" applyFont="1" applyNumberFormat="1">
      <alignment horizontal="center" shrinkToFit="0" vertical="center" wrapText="1"/>
    </xf>
    <xf borderId="4" fillId="6" fontId="42" numFmtId="164" xfId="0" applyAlignment="1" applyBorder="1" applyFont="1" applyNumberFormat="1">
      <alignment horizontal="center" shrinkToFit="0" vertical="center" wrapText="1"/>
    </xf>
    <xf borderId="4" fillId="0" fontId="1" numFmtId="165" xfId="0" applyAlignment="1" applyBorder="1" applyFont="1" applyNumberFormat="1">
      <alignment horizontal="center" shrinkToFit="0" vertical="center" wrapText="1"/>
    </xf>
    <xf borderId="4" fillId="6" fontId="1" numFmtId="0" xfId="0" applyAlignment="1" applyBorder="1" applyFont="1">
      <alignment horizontal="center" shrinkToFit="0" wrapText="1"/>
    </xf>
    <xf borderId="4" fillId="6" fontId="4" numFmtId="164" xfId="0" applyAlignment="1" applyBorder="1" applyFont="1" applyNumberFormat="1">
      <alignment horizontal="center" shrinkToFit="0" vertical="center" wrapText="1"/>
    </xf>
    <xf borderId="4" fillId="6" fontId="4" numFmtId="0" xfId="0" applyAlignment="1" applyBorder="1" applyFont="1">
      <alignment horizontal="center" shrinkToFit="0" vertical="center" wrapText="1"/>
    </xf>
    <xf borderId="4" fillId="7" fontId="1" numFmtId="0" xfId="0" applyAlignment="1" applyBorder="1" applyFont="1">
      <alignment horizontal="center" shrinkToFit="0" vertical="center" wrapText="1"/>
    </xf>
    <xf borderId="4" fillId="0" fontId="1" numFmtId="166" xfId="0" applyAlignment="1" applyBorder="1" applyFont="1" applyNumberFormat="1">
      <alignment horizontal="center" shrinkToFit="0" vertical="center" wrapText="1"/>
    </xf>
    <xf borderId="10" fillId="0" fontId="12" numFmtId="3" xfId="0" applyAlignment="1" applyBorder="1" applyFont="1" applyNumberFormat="1">
      <alignment horizontal="center" shrinkToFit="0" vertical="top" wrapText="1"/>
    </xf>
    <xf borderId="4" fillId="0" fontId="12" numFmtId="3" xfId="0" applyAlignment="1" applyBorder="1" applyFont="1" applyNumberFormat="1">
      <alignment horizontal="center" shrinkToFit="0" vertical="top" wrapText="1"/>
    </xf>
    <xf borderId="4" fillId="0" fontId="1" numFmtId="0" xfId="0" applyAlignment="1" applyBorder="1" applyFont="1">
      <alignment horizontal="center" shrinkToFit="0" vertical="top" wrapText="1"/>
    </xf>
    <xf borderId="4" fillId="0" fontId="43" numFmtId="0" xfId="0" applyAlignment="1" applyBorder="1" applyFont="1">
      <alignment horizontal="center" shrinkToFit="0" vertical="top" wrapText="1"/>
    </xf>
    <xf borderId="4" fillId="0" fontId="44" numFmtId="0" xfId="0" applyAlignment="1" applyBorder="1" applyFont="1">
      <alignment horizontal="center" shrinkToFit="0" vertical="top" wrapText="1"/>
    </xf>
    <xf borderId="4" fillId="0" fontId="45" numFmtId="170" xfId="0" applyAlignment="1" applyBorder="1" applyFont="1" applyNumberFormat="1">
      <alignment horizontal="center" shrinkToFit="0" vertical="center" wrapText="1"/>
    </xf>
    <xf borderId="4" fillId="0" fontId="1" numFmtId="170" xfId="0" applyAlignment="1" applyBorder="1" applyFont="1" applyNumberFormat="1">
      <alignment horizontal="center" shrinkToFit="0" vertical="top" wrapText="1"/>
    </xf>
    <xf borderId="4" fillId="0" fontId="45" numFmtId="166" xfId="0" applyAlignment="1" applyBorder="1" applyFont="1" applyNumberFormat="1">
      <alignment horizontal="center" shrinkToFit="0" vertical="center" wrapText="1"/>
    </xf>
    <xf borderId="4" fillId="0" fontId="45" numFmtId="0" xfId="0" applyAlignment="1" applyBorder="1" applyFont="1">
      <alignment horizontal="center" shrinkToFit="0" vertical="center" wrapText="1"/>
    </xf>
    <xf borderId="4" fillId="8" fontId="45" numFmtId="0" xfId="0" applyAlignment="1" applyBorder="1" applyFill="1" applyFont="1">
      <alignment horizontal="center" shrinkToFit="0" vertical="center" wrapText="1"/>
    </xf>
    <xf borderId="4" fillId="0" fontId="46" numFmtId="0" xfId="0" applyAlignment="1" applyBorder="1" applyFont="1">
      <alignment horizontal="center" shrinkToFit="0" vertical="center" wrapText="1"/>
    </xf>
    <xf borderId="4" fillId="0" fontId="1" numFmtId="0" xfId="0" applyAlignment="1" applyBorder="1" applyFont="1">
      <alignment shrinkToFit="0" vertical="center" wrapText="1"/>
    </xf>
    <xf borderId="4" fillId="9" fontId="47" numFmtId="0" xfId="0" applyAlignment="1" applyBorder="1" applyFill="1" applyFont="1">
      <alignment shrinkToFit="0" vertical="center" wrapText="1"/>
    </xf>
    <xf borderId="4" fillId="0" fontId="48" numFmtId="0" xfId="0" applyAlignment="1" applyBorder="1" applyFont="1">
      <alignment shrinkToFit="0" vertical="center" wrapText="1"/>
    </xf>
    <xf borderId="4" fillId="0" fontId="1" numFmtId="164" xfId="0" applyAlignment="1" applyBorder="1" applyFont="1" applyNumberFormat="1">
      <alignment shrinkToFit="0" vertical="center" wrapText="1"/>
    </xf>
    <xf borderId="4" fillId="0" fontId="1" numFmtId="165" xfId="0" applyAlignment="1" applyBorder="1" applyFont="1" applyNumberFormat="1">
      <alignment shrinkToFit="0" vertical="center" wrapText="1"/>
    </xf>
    <xf borderId="4" fillId="0" fontId="10" numFmtId="0" xfId="0" applyAlignment="1" applyBorder="1" applyFont="1">
      <alignment shrinkToFit="0" wrapText="1"/>
    </xf>
    <xf borderId="4" fillId="0" fontId="49" numFmtId="0" xfId="0" applyAlignment="1" applyBorder="1" applyFont="1">
      <alignment shrinkToFit="0" vertical="center" wrapText="1"/>
    </xf>
    <xf borderId="4" fillId="9" fontId="50" numFmtId="0" xfId="0" applyAlignment="1" applyBorder="1" applyFont="1">
      <alignment shrinkToFit="0" vertical="center" wrapText="1"/>
    </xf>
    <xf borderId="4" fillId="0" fontId="1" numFmtId="164" xfId="0" applyAlignment="1" applyBorder="1" applyFont="1" applyNumberFormat="1">
      <alignment horizontal="center" shrinkToFit="0" vertical="top" wrapText="1"/>
    </xf>
    <xf borderId="4" fillId="0" fontId="1" numFmtId="166" xfId="0" applyAlignment="1" applyBorder="1" applyFont="1" applyNumberFormat="1">
      <alignment horizontal="center" shrinkToFit="0" vertical="top" wrapText="1"/>
    </xf>
    <xf borderId="4" fillId="6" fontId="1"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5"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officedepot.com.mx/officedepot/en/Categor%C3%ADa/Todas/computo/laptops-y-macbook/laptops/Laptop-Asus-Vivobook-15-Intel-Core-i5-15-6-pulg-512-GB-SSD-8-GB-RAM-Azul-Incluye-Mochila-y-Mouse/p/100253460" TargetMode="External"/><Relationship Id="rId2" Type="http://schemas.openxmlformats.org/officeDocument/2006/relationships/hyperlink" Target="https://www.ktronix.com/computador-portatil-hp-omnibook-16-pulgadas-ag1052la/p/199251282935" TargetMode="External"/><Relationship Id="rId3" Type="http://schemas.openxmlformats.org/officeDocument/2006/relationships/hyperlink" Target="https://www.falabella.com.co/falabella-co/product/73382597/Portatil-Gaming-HP-VICTUS-Intel-Core-i5-16-GB-RAM-512-GB-SSD-Almacenamiento-RTX-3050-Windows-11-Home-15-fa2014La-Computador-portatil/73382597"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mercadolibre.com.co/monitor-gamer-lg-ultragear-27-curvo-qhd-180hz-1ms-freesync-hdr10-gris/p/MCO45941896" TargetMode="External"/><Relationship Id="rId2" Type="http://schemas.openxmlformats.org/officeDocument/2006/relationships/hyperlink" Target="https://www.alkosto.com/monitor-samsung-24-pulgadas-d300-fhd-plano-negro/p/887276903149" TargetMode="External"/><Relationship Id="rId3" Type="http://schemas.openxmlformats.org/officeDocument/2006/relationships/hyperlink" Target="https://www.lacuracao.pe/monitor-samsung-ls32dg300elxpe-odyssey-g-ls32dg300elxpe.html"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hitechsas.mercadoshops.com.co/disco-solido-m2-480-gb-crucial-e100-pcie-40-2280-color-negro/p/MCO46065423" TargetMode="External"/><Relationship Id="rId2" Type="http://schemas.openxmlformats.org/officeDocument/2006/relationships/hyperlink" Target="https://tecnoplaza.com.co/products/disco-solido-ssd-adata-su650-sata-de-512-gb-3dnan?variant=44592909418684&amp;country=CO&amp;currency=COP&amp;utm_medium=product_sync&amp;utm_source=google&amp;utm_content=sag_organic&amp;utm_campaign=sag_organic&amp;gad_source=1&amp;gad_campaignid=21026071843&amp;gbraid=0AAAAACSemFlL5IkFOal93eqGju5kFsT9A&amp;gclid=Cj0KCQjwjL3HBhCgARIsAPUg7a5SroHIyxBJV8G39HV0kosFWa5hTveG-WxV6wG8FjmVOcSpds0m2MYaAtoyEALw_wcB" TargetMode="External"/><Relationship Id="rId3" Type="http://schemas.openxmlformats.org/officeDocument/2006/relationships/hyperlink" Target="https://www.dataroka.com/disco-solido-ssd-interno-adata-ultimate-su650-asu650ss-512gt-r-512gb/p/MCO35339869?pdp_filters=category%3AMCO1672%7Cseller_id%3A176837259%7Citem_id%3AMCO2329119764"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tecnoimportaciones.com/almacenamiento/discosduros/wd-elements-2tb/?srsltid=AfmBOooEhTJNzQ4XTZR57fm3R1WdsSOe1h0jPwXbQiDTPOG-qwkIFVYy" TargetMode="External"/><Relationship Id="rId2" Type="http://schemas.openxmlformats.org/officeDocument/2006/relationships/hyperlink" Target="https://www.amazon.com/-/es/Seagate-BarraCuda-frustraci%C3%B3n-ST2000DM008-ST2000DMZ08/dp/B07H2RR55Q?th=1" TargetMode="External"/><Relationship Id="rId3" Type="http://schemas.openxmlformats.org/officeDocument/2006/relationships/hyperlink" Target="https://symcomputadores.com/producto/disco-duro-externo-toshiba-2tb-17/"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skywardtel.com/Dell-PowerEdge-R750xs-Rack-Server.html?gad_source=1&amp;gad_campaignid=22194516369&amp;gbraid=0AAAAAq90mYKOcD0uvDRd4BhStuvl7E7Fs&amp;gclid=CjwKCAjwr8LHBhBKEiwAy47uUjgdRkTIbknANDWZJCqa4RiReUrCJUOG3lwBEeF5QOQqnSz3-pjLdhoCnZUQAvD_BwE" TargetMode="External"/><Relationship Id="rId2" Type="http://schemas.openxmlformats.org/officeDocument/2006/relationships/hyperlink" Target="https://www.elenst.com/p/hpe-servidor-dl360-g11-4410y-mr408i-o-nc-8sff-svr/" TargetMode="External"/><Relationship Id="rId3" Type="http://schemas.openxmlformats.org/officeDocument/2006/relationships/hyperlink" Target="https://mymsystech.com.co/servidores-y-almacenamiento/5174-servidor-lenovo-thinksystem-st50-e-2324g-16gb-ram-2tb-hdd-sata-7d8ka00ala.html?srsltid=AfmBOoqKh7JzlWjkdlQcIq_4MAMwLz8EEqsUk2CK6mEB5JPQS6tmypg4" TargetMode="Externa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kingston.com/es/memory/gaming/kingston-fury-beast-ddr5-memory" TargetMode="External"/><Relationship Id="rId2" Type="http://schemas.openxmlformats.org/officeDocument/2006/relationships/hyperlink" Target="https://www.corsair.com/es/es/p/memory/cmk16gx5m1b5200c40/vengeance-16gb-1x16gb-ddr5-dram-5200mhz-c40-memory-kit-black-cmk16gx5m1b5200c40?srsltid=AfmBOoqDPor0x5yy7MUCLTxTOWc3eKv1buvodsa_QtTImZC2Go87B10p" TargetMode="External"/><Relationship Id="rId3" Type="http://schemas.openxmlformats.org/officeDocument/2006/relationships/hyperlink" Target="https://www.mercadolibre.com.co/unidad-solida-kingston-m2-nv2-nvme-pcie-1tb-gen-4x4/p/MCO19882453" TargetMode="Externa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exito.com/teclado-logitech-k120-usb-102480047-mp/p" TargetMode="External"/><Relationship Id="rId2" Type="http://schemas.openxmlformats.org/officeDocument/2006/relationships/hyperlink" Target="https://www.mercadolibre.com.co/teclado-inalambrico-gamer-led-rgb-redragon-k503-black/p/MCO2039243525" TargetMode="External"/><Relationship Id="rId3"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ktronix.com/mouse-logitech-inalambrico-optico-m170-rosado/p/097855183446" TargetMode="External"/><Relationship Id="rId2" Type="http://schemas.openxmlformats.org/officeDocument/2006/relationships/hyperlink" Target="https://www.falabella.com.co/falabella-co/product/143244843/MOUSE-HP-100-ALAMBRICO-NEGRO-USB/143244844" TargetMode="External"/><Relationship Id="rId3" Type="http://schemas.openxmlformats.org/officeDocument/2006/relationships/hyperlink" Target="https://www.alkosto.com/mouse-hyperx-alambrico-optico-pulsefire-core-6200dpi-rgb/p/196188043127" TargetMode="External"/><Relationship Id="rId4"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panamericana.com.co/portatil-lenovo-ideapad-slim-3-15amn8-82xq0063lm-15-6-amd-ryzen-5-ram-8gb-512gb-ssd-azul-hielo-665619/p" TargetMode="External"/><Relationship Id="rId2" Type="http://schemas.openxmlformats.org/officeDocument/2006/relationships/hyperlink" Target="https://www.compumax.com.co/productos/5697" TargetMode="External"/><Relationship Id="rId3" Type="http://schemas.openxmlformats.org/officeDocument/2006/relationships/hyperlink" Target="https://www.lenovo.com/co/es/p/accessories-and-software/monitors/office/62cauar1us" TargetMode="External"/><Relationship Id="rId4"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www.hp.com/co-es/shop/monitor-omen-fhd-gaming-de-23-8-780d9aa.html" TargetMode="External"/><Relationship Id="rId2" Type="http://schemas.openxmlformats.org/officeDocument/2006/relationships/hyperlink" Target="https://www.falabella.com.co/falabella-co/product/122186554/Monitor-ThinkVision-M14-movil-con-pantalla-tactil-14%E2%80%9D/122186555" TargetMode="External"/><Relationship Id="rId3" Type="http://schemas.openxmlformats.org/officeDocument/2006/relationships/hyperlink" Target="https://www.mercadolibre.com.co/monitor-gamer-lg-ultragear-27gr75q-lcd-27-negro-100v240v/p/MCO24122328?pdp_filters=item_id:MCO1413629089" TargetMode="External"/><Relationship Id="rId4"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www.computadoresyserviciotecnico.com/producto/disco-duro-externo-seagate-expansion-stea2000400-2tb-negro/" TargetMode="External"/><Relationship Id="rId2" Type="http://schemas.openxmlformats.org/officeDocument/2006/relationships/hyperlink" Target="https://compucentro.co/disco-duro-kingston-ssd-m-2-nvme-500gb-snv2s-500g/" TargetMode="External"/><Relationship Id="rId3" Type="http://schemas.openxmlformats.org/officeDocument/2006/relationships/hyperlink" Target="https://speedlogic.com.co/tienda/memorias-ram/memoria-ram-para-pc-ddr4-8g-3200-mhz-adata-xpg-spectrix-d35g-rgb/?srsltid=AfmBOopv-cvSIQxB6IduACm8qwt7PnwWRnl85MxwSS9WMOjmruFshLJm" TargetMode="External"/><Relationship Id="rId4"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www.mundolaptops.com/producto/lenovo-ideapad-3-15itl6/" TargetMode="External"/><Relationship Id="rId2" Type="http://schemas.openxmlformats.org/officeDocument/2006/relationships/hyperlink" Target="https://www.hp.com/co-es/shop/portatil-hp-15-fc0008la-morral-hp-travel-80m35la.html" TargetMode="External"/><Relationship Id="rId3" Type="http://schemas.openxmlformats.org/officeDocument/2006/relationships/hyperlink" Target="https://www.exito.com/computador-asus-vivobook-15-intel-core-i5-1235u-ram-16-gb-512-gb-ssd-x1504za-nj1194w-3158131/p" TargetMode="External"/><Relationship Id="rId4"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megacomputer.com.co/producto/monitor-hp-m24fw-23-8-fhd-blanco/" TargetMode="External"/><Relationship Id="rId2" Type="http://schemas.openxmlformats.org/officeDocument/2006/relationships/hyperlink" Target="https://www.amazon.com/-/es/Dell-24-monitores-alineaci%C3%B3n-conectividad/dp/B0971MZ4VB" TargetMode="External"/><Relationship Id="rId3" Type="http://schemas.openxmlformats.org/officeDocument/2006/relationships/hyperlink" Target="https://reset.net.co/producto/monitor-24-lg-24mk430h-b-freesync/?srsltid=AfmBOop6I7QBHmPVCVL187euUMbmYFWXsBUNLz5AG_DDvwhDvRjtCxUd" TargetMode="External"/><Relationship Id="rId4"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www.pcware.com.co/asus-geforce-gtx-1650-dual-oc-4gb-gddr6-nvidia-turing-resistencia-al-polvo-ip5x-tecnologia-auto-extreme-tweak-ll-nvidia-g-sync?srsltid=AfmBOorNka1msUktuKvT_S_uUhdzJpodiOrzSJ37SIJyFlaMuCtNs8nl" TargetMode="External"/><Relationship Id="rId2" Type="http://schemas.openxmlformats.org/officeDocument/2006/relationships/hyperlink" Target="https://www.gigabyte.com/Graphics-Card/GV-R66EAGLE-8GD" TargetMode="External"/><Relationship Id="rId3" Type="http://schemas.openxmlformats.org/officeDocument/2006/relationships/hyperlink" Target="https://enjoyvideogames.com.co/product/tarjeta-de-video-msi-ventus-geforce-rtx-3060-12gb-oc-2/" TargetMode="External"/><Relationship Id="rId4"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reset.net.co/producto/procesador-amd-ryzen-5-5600g/?srsltid=AfmBOorUdb7u5hpgccDpkGp6pguC2ckOuIYXRliNJy6_v2NOvnDjPleE" TargetMode="External"/><Relationship Id="rId2" Type="http://schemas.openxmlformats.org/officeDocument/2006/relationships/hyperlink" Target="https://www.amazon.com/-/es/AMD-Ryzen-5800X-Procesador-desbloqueado/dp/B0815XFSGK?th=1" TargetMode="External"/><Relationship Id="rId3" Type="http://schemas.openxmlformats.org/officeDocument/2006/relationships/hyperlink" Target="https://www.amazon.com/-/es/i7-12700KF-procesador-escritorio-n%C3%BAcleos-Chipset/dp/B09GYJJ1PT/ref=sr_1_1?adgrpid=150843924434&amp;dib=eyJ2IjoiMSJ9.TJgrk1IvtZHLjIIneHQIDG2TU_Mat0k84dTkE1tcxoND4NjQB8mKoiEaT0TUyREGrXmKqQfO4iiL40ivWPOluJYQLhwJYRhVIguHR3-aNOJDbfJQP4_HI92Y0e1trpBHdieH0VJCZByeLqI0yi1hrpm9BXfyILmr6yGpLYWSwNav0XVxOeyDMl2k0NtKOK4keoz7fNx-6yTtpz9zQU5eD3rf7FzsYa72SyXfst5smAM.jZjicAPBqLc97SuyZWOU5B9mBBo-53Pxyu3CwEQSDX0&amp;dib_tag=se&amp;hvadid=654049856572&amp;hvdev=c&amp;hvlocphy=1003659&amp;hvnetw=g&amp;hvqmt=b&amp;hvrand=6082312663267296942&amp;hvtargid=kwd-1477923467500&amp;hydadcr=968_1015034380&amp;keywords=intel+core+i7+12th&amp;mcid=59fc4e561b2635b086738bc6d6d9ba0e&amp;qid=1760624958&amp;sr=8-1" TargetMode="External"/><Relationship Id="rId4"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www.logitech.com/es-ar/shop/p/mk270-wireless-keyboard-mouse" TargetMode="External"/><Relationship Id="rId2" Type="http://schemas.openxmlformats.org/officeDocument/2006/relationships/hyperlink" Target="https://clonesyperifericos.com/comprar/teclado-mecanico-redragon-kumara-k552-rgb/?srsltid=AfmBOopAKMLMerXFtmP-6EjYSDn_m42NhwWAtjdth_w6oKqNw40YksXt" TargetMode="External"/><Relationship Id="rId3" Type="http://schemas.openxmlformats.org/officeDocument/2006/relationships/hyperlink" Target="https://www.mousestar.com.co/index.php/teclados-genius/" TargetMode="External"/><Relationship Id="rId4"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gamerscolombia.com/products/mouse-razer-deathadder-essential?srsltid=AfmBOoopMBbkqe2FgNCkKqia8YkzahwJiqc98MbYDZTW6UIGHP5raUU9" TargetMode="External"/><Relationship Id="rId2" Type="http://schemas.openxmlformats.org/officeDocument/2006/relationships/hyperlink" Target="https://tecnoplaza.com.co/products/mouse-gamer-logitech-g502-hero-rgb-programable?srsltid=AfmBOop4hc_Qsolb0fKffyin9NDmTOC9jxTei-0K75Dc2xAEVBh093Bf" TargetMode="External"/><Relationship Id="rId3" Type="http://schemas.openxmlformats.org/officeDocument/2006/relationships/hyperlink" Target="https://www.corsair.com/lm/es/p/gaming-mouse/ch-9309011-na/m65-rgb-elite-tunable-fps-gaming-mouse-a-black-ch-9309011-na?srsltid=AfmBOopi9HLK2Mu4n7_Muso7xpqHn_yA5STrLi-dOSr5b-xctVC2ek1v" TargetMode="External"/><Relationship Id="rId4"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s://lasus.com.co/es/windows-11-home-oem-64-bit-span-dvd-licencia-para-equipo-nuevo-no-transferible-incluye-dvd-de-instalacion?srsltid=AfmBOoo4z06pEy6pFuUuEkKvqMSryy9uIkcAWdZOEbR3ac3pj6GUpB1Y" TargetMode="External"/><Relationship Id="rId2" Type="http://schemas.openxmlformats.org/officeDocument/2006/relationships/hyperlink" Target="https://colombiakeys.com/producto/windows-10-pro-retail/?srsltid=AfmBOoqLOzk61OUmcS3HSHyAVAOVcdHicjXdPYmm-XKSdBgt2vtpHMR9" TargetMode="External"/><Relationship Id="rId3" Type="http://schemas.openxmlformats.org/officeDocument/2006/relationships/hyperlink" Target="https://www.amazon.com/-/es/Microsoft-Builder-Wind%D0%BEws-Intended-Authorized/dp/B09MYBD79G/ref=sr_1_2?adgrpid=166506553648&amp;dib=eyJ2IjoiMSJ9._1MPUOsQTzvbAEg64_2CZ1BX6WEJ4X6E6fNnc-Bc91sOl4GezAlWh6qH_2YExjQpBjPym87ZbRBdXTrcRyIlPsqvi7AALM7ZxGFS0NKjsI52MlH10j4lgYZsCqYqsdVAEi3L_MN0aqWqBD9arbx95_knm6v9FvkpIsqJLuFV6Crtdr1yO_ohrtVA_lLUgXdKmJFGO4qZ4H0pa3efur8dWd2xZj9svgdr7dpSub7w6e0.yo5Ko2RKVn-4Nsj8D6tSoZXnFyGIAvTNOomJjf0As-I&amp;dib_tag=se&amp;hvadid=696230395841&amp;hvdev=c&amp;hvlocphy=1003659&amp;hvnetw=g&amp;hvqmt=b&amp;hvrand=274261848246942020&amp;hvtargid=kwd-1438599897732&amp;hydadcr=1188_1015168686&amp;keywords=windows%2B11%2Bpro%2Bdvd&amp;mcid=18ea2a9b449c3e15b008b9f5ffbf3f0b&amp;qid=1760703916&amp;sr=8-2&amp;th=1" TargetMode="External"/><Relationship Id="rId4"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https://www.onlinecomputer.com.co/articulos/detalles/Visual-Studio-Pro-CSP-Bogota-Colombia" TargetMode="External"/><Relationship Id="rId2" Type="http://schemas.openxmlformats.org/officeDocument/2006/relationships/hyperlink" Target="https://www.wiresoft.es/microsoft-visual-studio-2022-enterprise" TargetMode="External"/><Relationship Id="rId3" Type="http://schemas.openxmlformats.org/officeDocument/2006/relationships/hyperlink" Target="https://lasus.com.co/es/visual-studio-professional-2022-nce-com-bas-per-1tm?srsltid=AfmBOor6mFO-_PHRG_-Ks7dH65QDA-BQMrF6VYutTEE7TLDLUQ5_3rn2" TargetMode="External"/><Relationship Id="rId4"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hyperlink" Target="https://revolutionsoft.com.co/windows-11/windows-11-pro.html?srsltid=AfmBOopkRtlirxEV5Bf6EDQHX_mpuBUa0uwrzXfhnRzbIC3H3An5xOON" TargetMode="External"/><Relationship Id="rId2" Type="http://schemas.openxmlformats.org/officeDocument/2006/relationships/hyperlink" Target="https://www.compudemano.com/producto/microsoft-windows-10-pro/?srsltid=AfmBOoqPuOZ6qGTvc77wPFfisrw0iAmGtRTtRLvt2Qww-hzgBzrxbnah" TargetMode="External"/><Relationship Id="rId3" Type="http://schemas.openxmlformats.org/officeDocument/2006/relationships/hyperlink" Target="https://www.amazon.com/-/es/Microsoft-Builder-Wind%D0%BEws-Intended-Authorized/dp/B09MYBD79G/ref=sr_1_1?adgrpid=166506553648&amp;dib=eyJ2IjoiMSJ9._1MPUOsQTzvbAEg64_2CZ1BX6WEJ4X6E6fNnc-Bc91sOl4GezAlWh6qH_2YExjQpBjPym87ZbRBdXTrcRyIlPsqvi7AALM7ZxGFS0NKjsI7qu_jHF5qaJ2WoUN1SVAOEvRi_df6ZSi4zgku301AGrvknm6v9FvkpIsqJLuFV6Crtdr1yO_ohrtVA_lLUgXdKmJFGO4qZ4H0pa3efur8dWd2xZj9svgdr7dpSub7w6e0.l3uTxLKdNU1ifix2L1blon8YYZbJ517an1jQBfMyk1Q&amp;dib_tag=se&amp;hvadid=696230395844&amp;hvdev=c&amp;hvlocphy=1003659&amp;hvnetw=g&amp;hvqmt=b&amp;hvrand=8962842745818376685&amp;hvtargid=kwd-1438599897732&amp;hydadcr=1188_1015033233&amp;keywords=windows%2B11%2Bpro%2Bdvd&amp;mcid=18ea2a9b449c3e15b008b9f5ffbf3f0b&amp;qid=1760709036&amp;sr=8-1&amp;th=1" TargetMode="External"/><Relationship Id="rId4"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hyperlink" Target="https://systorecolombia.com/server/919-licencia-sql-server-standard-2022-perpetua-dg7gmgf0fkx9.html" TargetMode="External"/><Relationship Id="rId2" Type="http://schemas.openxmlformats.org/officeDocument/2006/relationships/hyperlink" Target="https://lasus.com.co/es/43728-dg7gmgf0m7xv-0003_nfp-licencia-core-sql-server-2022-enterprise-paquete-de-2-n-cleos-nce-nfp-bas-per-1tm-?srsltid=AfmBOophBtNC7l4llyMw7egPBjDhIrwnTQMLxbjnJM3xzhhyYIo9buCT" TargetMode="External"/><Relationship Id="rId3" Type="http://schemas.openxmlformats.org/officeDocument/2006/relationships/hyperlink" Target="https://systorecolombia.com/server/252-licencia-sql-server-standard-2019-perpetua-dg7gmgf0fkx9.html" TargetMode="External"/><Relationship Id="rId4"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c r="A1" s="1"/>
    </row>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7" t="s">
        <v>3</v>
      </c>
      <c r="C7" s="7" t="s">
        <v>4</v>
      </c>
      <c r="D7" s="7" t="s">
        <v>5</v>
      </c>
      <c r="E7" s="7" t="s">
        <v>6</v>
      </c>
      <c r="F7" s="8" t="s">
        <v>7</v>
      </c>
      <c r="G7" s="9" t="s">
        <v>8</v>
      </c>
      <c r="H7" s="7" t="s">
        <v>9</v>
      </c>
      <c r="I7" s="7" t="s">
        <v>10</v>
      </c>
      <c r="J7" s="7" t="s">
        <v>11</v>
      </c>
      <c r="K7" s="10"/>
      <c r="L7" s="10"/>
      <c r="M7" s="10"/>
      <c r="N7" s="10"/>
      <c r="O7" s="10"/>
      <c r="P7" s="10"/>
      <c r="Q7" s="10"/>
      <c r="R7" s="10"/>
      <c r="S7" s="10"/>
      <c r="T7" s="10"/>
      <c r="U7" s="10"/>
      <c r="V7" s="10"/>
      <c r="W7" s="10"/>
      <c r="X7" s="10"/>
      <c r="Y7" s="10"/>
      <c r="Z7" s="10"/>
    </row>
    <row r="8" ht="50.25" customHeight="1">
      <c r="A8" s="11" t="s">
        <v>12</v>
      </c>
      <c r="B8" s="12" t="s">
        <v>13</v>
      </c>
      <c r="C8" s="13" t="s">
        <v>14</v>
      </c>
      <c r="D8" s="14" t="s">
        <v>15</v>
      </c>
      <c r="E8" s="15">
        <v>1950000.0</v>
      </c>
      <c r="F8" s="15">
        <v>2320500.0</v>
      </c>
      <c r="G8" s="16" t="s">
        <v>16</v>
      </c>
      <c r="H8" s="17">
        <v>4235.0</v>
      </c>
      <c r="I8" s="18" t="s">
        <v>17</v>
      </c>
      <c r="J8" s="19" t="s">
        <v>18</v>
      </c>
    </row>
    <row r="9" ht="50.25" customHeight="1">
      <c r="A9" s="11" t="s">
        <v>19</v>
      </c>
      <c r="B9" s="20" t="s">
        <v>20</v>
      </c>
      <c r="C9" s="13" t="s">
        <v>21</v>
      </c>
      <c r="D9" s="21" t="s">
        <v>22</v>
      </c>
      <c r="E9" s="15">
        <v>2850000.0</v>
      </c>
      <c r="F9" s="15">
        <v>3391500.0</v>
      </c>
      <c r="G9" s="16" t="s">
        <v>23</v>
      </c>
      <c r="H9" s="17">
        <v>4235.0</v>
      </c>
      <c r="I9" s="18" t="s">
        <v>17</v>
      </c>
      <c r="J9" s="22" t="s">
        <v>24</v>
      </c>
    </row>
    <row r="10" ht="50.25" customHeight="1">
      <c r="A10" s="11" t="s">
        <v>25</v>
      </c>
      <c r="B10" s="12" t="s">
        <v>26</v>
      </c>
      <c r="C10" s="13" t="s">
        <v>27</v>
      </c>
      <c r="D10" s="23" t="s">
        <v>28</v>
      </c>
      <c r="E10" s="15">
        <v>4600000.0</v>
      </c>
      <c r="F10" s="15">
        <v>5474000.0</v>
      </c>
      <c r="G10" s="16" t="s">
        <v>29</v>
      </c>
      <c r="H10" s="17">
        <v>4235.0</v>
      </c>
      <c r="I10" s="18" t="s">
        <v>30</v>
      </c>
      <c r="J10" s="24" t="s">
        <v>31</v>
      </c>
    </row>
    <row r="11" hidden="1">
      <c r="A11" s="25"/>
      <c r="B11" s="26"/>
      <c r="C11" s="26"/>
      <c r="D11" s="26"/>
      <c r="E11" s="26"/>
      <c r="F11" s="26"/>
      <c r="G11" s="26"/>
      <c r="H11" s="26"/>
      <c r="I11" s="26"/>
      <c r="J11" s="26"/>
    </row>
    <row r="12" ht="12.75" customHeight="1"/>
    <row r="13" ht="138.75" customHeight="1">
      <c r="A13" s="27" t="s">
        <v>32</v>
      </c>
      <c r="B13" s="4"/>
      <c r="C13" s="4"/>
      <c r="D13" s="4"/>
      <c r="E13" s="4"/>
      <c r="F13" s="4"/>
      <c r="G13" s="4"/>
      <c r="H13" s="4"/>
      <c r="I13" s="4"/>
      <c r="J13" s="5"/>
    </row>
    <row r="14" ht="12.75" customHeight="1"/>
    <row r="15" ht="75.0" customHeight="1">
      <c r="A15" s="27" t="s">
        <v>33</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8"/>
      <c r="E26" s="28"/>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ref="C8"/>
    <hyperlink r:id="rId2" ref="C9"/>
    <hyperlink r:id="rId3" ref="C10"/>
  </hyperlinks>
  <printOptions/>
  <pageMargins bottom="0.75" footer="0.0" header="0.0" left="0.7" right="0.7" top="0.75"/>
  <pageSetup orientation="landscape"/>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29" t="s">
        <v>34</v>
      </c>
      <c r="C7" s="29" t="s">
        <v>35</v>
      </c>
      <c r="D7" s="29" t="s">
        <v>36</v>
      </c>
      <c r="E7" s="29" t="s">
        <v>37</v>
      </c>
      <c r="F7" s="30" t="s">
        <v>38</v>
      </c>
      <c r="G7" s="9" t="s">
        <v>39</v>
      </c>
      <c r="H7" s="29" t="s">
        <v>9</v>
      </c>
      <c r="I7" s="29" t="s">
        <v>40</v>
      </c>
      <c r="J7" s="29" t="s">
        <v>41</v>
      </c>
      <c r="K7" s="10"/>
      <c r="L7" s="10"/>
      <c r="M7" s="10"/>
      <c r="N7" s="10"/>
      <c r="O7" s="10"/>
      <c r="P7" s="10"/>
      <c r="Q7" s="10"/>
      <c r="R7" s="10"/>
      <c r="S7" s="10"/>
      <c r="T7" s="10"/>
      <c r="U7" s="10"/>
      <c r="V7" s="10"/>
      <c r="W7" s="10"/>
      <c r="X7" s="10"/>
      <c r="Y7" s="10"/>
      <c r="Z7" s="10"/>
    </row>
    <row r="8" ht="75.0" customHeight="1">
      <c r="A8" s="29" t="s">
        <v>12</v>
      </c>
      <c r="B8" s="31" t="s">
        <v>42</v>
      </c>
      <c r="C8" s="32" t="s">
        <v>43</v>
      </c>
      <c r="D8" s="33" t="s">
        <v>44</v>
      </c>
      <c r="E8" s="34">
        <v>1249000.0</v>
      </c>
      <c r="F8" s="34">
        <v>1486310.0</v>
      </c>
      <c r="G8" s="35">
        <v>231.6</v>
      </c>
      <c r="H8" s="36">
        <v>6420.0</v>
      </c>
      <c r="I8" s="33" t="s">
        <v>17</v>
      </c>
      <c r="J8" s="37" t="s">
        <v>45</v>
      </c>
    </row>
    <row r="9" ht="50.25" customHeight="1">
      <c r="A9" s="29" t="s">
        <v>19</v>
      </c>
      <c r="B9" s="31" t="s">
        <v>46</v>
      </c>
      <c r="C9" s="38" t="s">
        <v>47</v>
      </c>
      <c r="D9" s="39" t="s">
        <v>48</v>
      </c>
      <c r="E9" s="34">
        <v>799000.0</v>
      </c>
      <c r="F9" s="34">
        <v>950810.0</v>
      </c>
      <c r="G9" s="35">
        <v>148.1</v>
      </c>
      <c r="H9" s="36">
        <v>6420.0</v>
      </c>
      <c r="I9" s="33" t="s">
        <v>17</v>
      </c>
      <c r="J9" s="40" t="s">
        <v>49</v>
      </c>
    </row>
    <row r="10" ht="50.25" customHeight="1">
      <c r="A10" s="29" t="s">
        <v>25</v>
      </c>
      <c r="B10" s="31" t="s">
        <v>50</v>
      </c>
      <c r="C10" s="13" t="s">
        <v>51</v>
      </c>
      <c r="D10" s="41" t="s">
        <v>52</v>
      </c>
      <c r="E10" s="42">
        <v>1399000.0</v>
      </c>
      <c r="F10" s="34">
        <v>1665810.0</v>
      </c>
      <c r="G10" s="35">
        <v>259.4</v>
      </c>
      <c r="H10" s="36">
        <v>6420.0</v>
      </c>
      <c r="I10" s="33" t="s">
        <v>17</v>
      </c>
      <c r="J10" s="40" t="s">
        <v>53</v>
      </c>
    </row>
    <row r="11" hidden="1">
      <c r="A11" s="25"/>
      <c r="B11" s="26"/>
      <c r="C11" s="26"/>
      <c r="D11" s="26"/>
      <c r="E11" s="26"/>
      <c r="F11" s="26"/>
      <c r="G11" s="26"/>
      <c r="H11" s="26"/>
      <c r="I11" s="26"/>
      <c r="J11" s="26"/>
    </row>
    <row r="12" ht="12.75" customHeight="1"/>
    <row r="13" ht="138.75" customHeight="1">
      <c r="A13" s="27" t="s">
        <v>54</v>
      </c>
      <c r="B13" s="4"/>
      <c r="C13" s="4"/>
      <c r="D13" s="4"/>
      <c r="E13" s="4"/>
      <c r="F13" s="4"/>
      <c r="G13" s="4"/>
      <c r="H13" s="4"/>
      <c r="I13" s="4"/>
      <c r="J13" s="5"/>
    </row>
    <row r="14" ht="12.75" customHeight="1"/>
    <row r="15" ht="75.0" customHeight="1">
      <c r="A15" s="27" t="s">
        <v>55</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8"/>
      <c r="E26" s="28"/>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location="polycard_client=search-nordic&amp;search_layout=stack&amp;position=1&amp;type=product&amp;tracking_id=8ae1ea38-9367-41f1-ad66-f66bcb7ae34e&amp;wid=MCO3207946144&amp;sid=search" ref="C8"/>
    <hyperlink r:id="rId2" ref="C9"/>
    <hyperlink r:id="rId3" ref="C10"/>
  </hyperlinks>
  <printOptions/>
  <pageMargins bottom="0.75" footer="0.0" header="0.0" left="0.7" right="0.7" top="0.75"/>
  <pageSetup orientation="landscape"/>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43" t="s">
        <v>2</v>
      </c>
      <c r="B7" s="44" t="s">
        <v>56</v>
      </c>
      <c r="C7" s="44" t="s">
        <v>57</v>
      </c>
      <c r="D7" s="44" t="s">
        <v>58</v>
      </c>
      <c r="E7" s="44" t="s">
        <v>59</v>
      </c>
      <c r="F7" s="45" t="s">
        <v>60</v>
      </c>
      <c r="G7" s="46" t="s">
        <v>61</v>
      </c>
      <c r="H7" s="44" t="s">
        <v>9</v>
      </c>
      <c r="I7" s="44" t="s">
        <v>62</v>
      </c>
      <c r="J7" s="44" t="s">
        <v>63</v>
      </c>
      <c r="K7" s="10"/>
      <c r="L7" s="10"/>
      <c r="M7" s="10"/>
      <c r="N7" s="10"/>
      <c r="O7" s="10"/>
      <c r="P7" s="10"/>
      <c r="Q7" s="10"/>
      <c r="R7" s="10"/>
      <c r="S7" s="10"/>
      <c r="T7" s="10"/>
      <c r="U7" s="10"/>
      <c r="V7" s="10"/>
      <c r="W7" s="10"/>
      <c r="X7" s="10"/>
      <c r="Y7" s="10"/>
      <c r="Z7" s="10"/>
    </row>
    <row r="8" ht="50.25" customHeight="1">
      <c r="A8" s="11" t="s">
        <v>12</v>
      </c>
      <c r="B8" s="33" t="s">
        <v>64</v>
      </c>
      <c r="C8" s="13" t="s">
        <v>65</v>
      </c>
      <c r="D8" s="14" t="s">
        <v>66</v>
      </c>
      <c r="E8" s="42">
        <v>369900.0</v>
      </c>
      <c r="F8" s="34">
        <v>440181.0</v>
      </c>
      <c r="G8" s="35">
        <v>68.5</v>
      </c>
      <c r="H8" s="36">
        <f t="shared" ref="H8:H10" si="1">G8*3900</f>
        <v>267150</v>
      </c>
      <c r="I8" s="33" t="s">
        <v>67</v>
      </c>
      <c r="J8" s="47" t="s">
        <v>68</v>
      </c>
    </row>
    <row r="9" ht="77.25" customHeight="1">
      <c r="A9" s="11" t="s">
        <v>19</v>
      </c>
      <c r="B9" s="48" t="s">
        <v>69</v>
      </c>
      <c r="C9" s="13" t="s">
        <v>70</v>
      </c>
      <c r="D9" s="49" t="s">
        <v>71</v>
      </c>
      <c r="E9" s="42">
        <v>289000.0</v>
      </c>
      <c r="F9" s="50">
        <v>343910.0</v>
      </c>
      <c r="G9" s="35">
        <v>53.5</v>
      </c>
      <c r="H9" s="36">
        <f t="shared" si="1"/>
        <v>208650</v>
      </c>
      <c r="I9" s="33" t="s">
        <v>67</v>
      </c>
      <c r="J9" s="51" t="s">
        <v>72</v>
      </c>
    </row>
    <row r="10" ht="50.25" customHeight="1">
      <c r="A10" s="11" t="s">
        <v>25</v>
      </c>
      <c r="B10" s="52" t="s">
        <v>73</v>
      </c>
      <c r="C10" s="13" t="s">
        <v>74</v>
      </c>
      <c r="D10" s="52" t="s">
        <v>75</v>
      </c>
      <c r="E10" s="53">
        <v>459000.0</v>
      </c>
      <c r="F10" s="54">
        <v>545210.0</v>
      </c>
      <c r="G10" s="35">
        <v>84.9</v>
      </c>
      <c r="H10" s="36">
        <f t="shared" si="1"/>
        <v>331110</v>
      </c>
      <c r="I10" s="33" t="s">
        <v>67</v>
      </c>
      <c r="J10" s="55"/>
    </row>
    <row r="11" hidden="1">
      <c r="A11" s="25"/>
      <c r="B11" s="55"/>
      <c r="C11" s="33">
        <v>3.00892144E9</v>
      </c>
      <c r="D11" s="55"/>
      <c r="E11" s="55"/>
      <c r="F11" s="55"/>
      <c r="G11" s="56"/>
      <c r="H11" s="56"/>
      <c r="I11" s="56"/>
      <c r="J11" s="56"/>
    </row>
    <row r="12" ht="12.75" customHeight="1"/>
    <row r="13" ht="138.75" customHeight="1">
      <c r="A13" s="27" t="s">
        <v>76</v>
      </c>
      <c r="B13" s="4"/>
      <c r="C13" s="4"/>
      <c r="D13" s="4"/>
      <c r="E13" s="4"/>
      <c r="F13" s="4"/>
      <c r="G13" s="4"/>
      <c r="H13" s="4"/>
      <c r="I13" s="4"/>
      <c r="J13" s="5"/>
    </row>
    <row r="14" ht="12.75" customHeight="1"/>
    <row r="15" ht="75.0" customHeight="1">
      <c r="A15" s="27" t="s">
        <v>77</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8"/>
      <c r="E26" s="28"/>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13:J13"/>
    <mergeCell ref="A15:J15"/>
    <mergeCell ref="D2:H2"/>
    <mergeCell ref="A5:J5"/>
    <mergeCell ref="J9:J10"/>
    <mergeCell ref="B10:B11"/>
    <mergeCell ref="D10:D11"/>
    <mergeCell ref="E10:E11"/>
    <mergeCell ref="F10:F11"/>
  </mergeCells>
  <hyperlinks>
    <hyperlink r:id="rId1" location="item_id=MCO2857743470&amp;component=collection_grid&amp;page_from=home&amp;custom_categories=false&amp;item_id=MCO2857743470&amp;component=collection_grid&amp;page_from=home&amp;custom_categories=false" ref="C8"/>
    <hyperlink r:id="rId2" ref="C9"/>
    <hyperlink r:id="rId3" ref="C10"/>
  </hyperlinks>
  <printOptions/>
  <pageMargins bottom="0.75" footer="0.0" header="0.0" left="0.7" right="0.7" top="0.75"/>
  <pageSetup orientation="landscape"/>
  <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44" t="s">
        <v>78</v>
      </c>
      <c r="C7" s="44" t="s">
        <v>79</v>
      </c>
      <c r="D7" s="44" t="s">
        <v>80</v>
      </c>
      <c r="E7" s="44" t="s">
        <v>81</v>
      </c>
      <c r="F7" s="45" t="s">
        <v>82</v>
      </c>
      <c r="G7" s="46" t="s">
        <v>83</v>
      </c>
      <c r="H7" s="44" t="s">
        <v>9</v>
      </c>
      <c r="I7" s="44" t="s">
        <v>84</v>
      </c>
      <c r="J7" s="44" t="s">
        <v>85</v>
      </c>
      <c r="K7" s="10"/>
      <c r="L7" s="10"/>
      <c r="M7" s="10"/>
      <c r="N7" s="10"/>
      <c r="O7" s="10"/>
      <c r="P7" s="10"/>
      <c r="Q7" s="10"/>
      <c r="R7" s="10"/>
      <c r="S7" s="10"/>
      <c r="T7" s="10"/>
      <c r="U7" s="10"/>
      <c r="V7" s="10"/>
      <c r="W7" s="10"/>
      <c r="X7" s="10"/>
      <c r="Y7" s="10"/>
      <c r="Z7" s="10"/>
    </row>
    <row r="8" ht="50.25" customHeight="1">
      <c r="A8" s="57" t="s">
        <v>12</v>
      </c>
      <c r="B8" s="33" t="s">
        <v>86</v>
      </c>
      <c r="C8" s="58" t="s">
        <v>87</v>
      </c>
      <c r="D8" s="14" t="s">
        <v>88</v>
      </c>
      <c r="E8" s="59">
        <v>285.0</v>
      </c>
      <c r="F8" s="60">
        <v>339.15</v>
      </c>
      <c r="G8" s="61">
        <v>81.0</v>
      </c>
      <c r="H8" s="36">
        <f t="shared" ref="H8:H10" si="1">G8*3900</f>
        <v>315900</v>
      </c>
      <c r="I8" s="33" t="s">
        <v>67</v>
      </c>
      <c r="J8" s="14" t="s">
        <v>89</v>
      </c>
    </row>
    <row r="9" ht="50.25" customHeight="1">
      <c r="A9" s="57" t="s">
        <v>19</v>
      </c>
      <c r="B9" s="33" t="s">
        <v>90</v>
      </c>
      <c r="C9" s="58" t="s">
        <v>91</v>
      </c>
      <c r="D9" s="41" t="s">
        <v>92</v>
      </c>
      <c r="E9" s="59">
        <v>260.0</v>
      </c>
      <c r="F9" s="60">
        <v>309.4</v>
      </c>
      <c r="G9" s="61">
        <v>74.0</v>
      </c>
      <c r="H9" s="36">
        <f t="shared" si="1"/>
        <v>288600</v>
      </c>
      <c r="I9" s="33" t="s">
        <v>67</v>
      </c>
      <c r="J9" s="14" t="s">
        <v>93</v>
      </c>
    </row>
    <row r="10" ht="50.25" customHeight="1">
      <c r="A10" s="57" t="s">
        <v>25</v>
      </c>
      <c r="B10" s="33" t="s">
        <v>94</v>
      </c>
      <c r="C10" s="13" t="s">
        <v>95</v>
      </c>
      <c r="D10" s="33" t="s">
        <v>96</v>
      </c>
      <c r="E10" s="60">
        <v>310.0</v>
      </c>
      <c r="F10" s="60">
        <v>369.9</v>
      </c>
      <c r="G10" s="61">
        <v>88.0</v>
      </c>
      <c r="H10" s="36">
        <f t="shared" si="1"/>
        <v>343200</v>
      </c>
      <c r="I10" s="33" t="s">
        <v>67</v>
      </c>
      <c r="J10" s="33" t="s">
        <v>97</v>
      </c>
    </row>
    <row r="11" hidden="1">
      <c r="A11" s="25"/>
      <c r="B11" s="62"/>
      <c r="C11" s="62"/>
      <c r="D11" s="62"/>
      <c r="E11" s="62"/>
      <c r="F11" s="62"/>
      <c r="G11" s="62"/>
      <c r="H11" s="62"/>
      <c r="I11" s="62"/>
      <c r="J11" s="62"/>
    </row>
    <row r="12" ht="12.75" customHeight="1"/>
    <row r="13" ht="138.75" customHeight="1">
      <c r="A13" s="27" t="s">
        <v>98</v>
      </c>
      <c r="B13" s="4"/>
      <c r="C13" s="4"/>
      <c r="D13" s="4"/>
      <c r="E13" s="4"/>
      <c r="F13" s="4"/>
      <c r="G13" s="4"/>
      <c r="H13" s="4"/>
      <c r="I13" s="4"/>
      <c r="J13" s="5"/>
    </row>
    <row r="14" ht="12.75" customHeight="1"/>
    <row r="15" ht="75.0" customHeight="1">
      <c r="A15" s="27" t="s">
        <v>99</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8"/>
      <c r="E26" s="28"/>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ref="C8"/>
    <hyperlink r:id="rId2" ref="C9"/>
    <hyperlink r:id="rId3" ref="C10"/>
  </hyperlinks>
  <printOptions/>
  <pageMargins bottom="0.75" footer="0.0" header="0.0" left="0.7" right="0.7" top="0.75"/>
  <pageSetup orientation="landscape"/>
  <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44" t="s">
        <v>100</v>
      </c>
      <c r="C7" s="44" t="s">
        <v>101</v>
      </c>
      <c r="D7" s="44" t="s">
        <v>102</v>
      </c>
      <c r="E7" s="44" t="s">
        <v>103</v>
      </c>
      <c r="F7" s="45" t="s">
        <v>104</v>
      </c>
      <c r="G7" s="63" t="s">
        <v>105</v>
      </c>
      <c r="H7" s="44" t="s">
        <v>9</v>
      </c>
      <c r="I7" s="44" t="s">
        <v>106</v>
      </c>
      <c r="J7" s="44" t="s">
        <v>107</v>
      </c>
      <c r="K7" s="10"/>
      <c r="L7" s="10"/>
      <c r="M7" s="10"/>
      <c r="N7" s="10"/>
      <c r="O7" s="10"/>
      <c r="P7" s="10"/>
      <c r="Q7" s="10"/>
      <c r="R7" s="10"/>
      <c r="S7" s="10"/>
      <c r="T7" s="10"/>
      <c r="U7" s="10"/>
      <c r="V7" s="10"/>
      <c r="W7" s="10"/>
      <c r="X7" s="10"/>
      <c r="Y7" s="10"/>
      <c r="Z7" s="10"/>
    </row>
    <row r="8" ht="50.25" customHeight="1">
      <c r="A8" s="57" t="s">
        <v>12</v>
      </c>
      <c r="B8" s="33" t="s">
        <v>108</v>
      </c>
      <c r="C8" s="13" t="s">
        <v>109</v>
      </c>
      <c r="D8" s="33" t="s">
        <v>110</v>
      </c>
      <c r="E8" s="60">
        <v>6800000.0</v>
      </c>
      <c r="F8" s="60">
        <v>8092000.0</v>
      </c>
      <c r="G8" s="35">
        <v>3233.0</v>
      </c>
      <c r="H8" s="36">
        <f t="shared" ref="H8:H10" si="1">G8*3900</f>
        <v>12608700</v>
      </c>
      <c r="I8" s="33" t="s">
        <v>67</v>
      </c>
      <c r="J8" s="64" t="s">
        <v>111</v>
      </c>
    </row>
    <row r="9" ht="50.25" customHeight="1">
      <c r="A9" s="57" t="s">
        <v>19</v>
      </c>
      <c r="B9" s="48" t="s">
        <v>112</v>
      </c>
      <c r="C9" s="13" t="s">
        <v>113</v>
      </c>
      <c r="D9" s="14" t="s">
        <v>114</v>
      </c>
      <c r="E9" s="59">
        <v>7450000.0</v>
      </c>
      <c r="F9" s="60">
        <v>8865500.0</v>
      </c>
      <c r="G9" s="65">
        <v>3545.0</v>
      </c>
      <c r="H9" s="36">
        <f t="shared" si="1"/>
        <v>13825500</v>
      </c>
      <c r="I9" s="33" t="s">
        <v>67</v>
      </c>
      <c r="J9" s="14" t="s">
        <v>115</v>
      </c>
    </row>
    <row r="10" ht="50.25" customHeight="1">
      <c r="A10" s="57" t="s">
        <v>25</v>
      </c>
      <c r="B10" s="33" t="s">
        <v>116</v>
      </c>
      <c r="C10" s="13" t="s">
        <v>117</v>
      </c>
      <c r="D10" s="14" t="s">
        <v>118</v>
      </c>
      <c r="E10" s="59">
        <v>6200000.0</v>
      </c>
      <c r="F10" s="60">
        <f>E10*1.19</f>
        <v>7378000</v>
      </c>
      <c r="G10" s="35">
        <v>2950.0</v>
      </c>
      <c r="H10" s="36">
        <f t="shared" si="1"/>
        <v>11505000</v>
      </c>
      <c r="I10" s="33" t="s">
        <v>67</v>
      </c>
      <c r="J10" s="33" t="s">
        <v>119</v>
      </c>
    </row>
    <row r="11" hidden="1">
      <c r="A11" s="25"/>
      <c r="B11" s="62"/>
      <c r="C11" s="62"/>
      <c r="D11" s="62"/>
      <c r="E11" s="62"/>
      <c r="F11" s="62"/>
      <c r="G11" s="62"/>
      <c r="H11" s="62"/>
      <c r="I11" s="62"/>
      <c r="J11" s="62"/>
    </row>
    <row r="12" ht="12.75" customHeight="1"/>
    <row r="13" ht="138.75" customHeight="1">
      <c r="A13" s="27" t="s">
        <v>120</v>
      </c>
      <c r="B13" s="4"/>
      <c r="C13" s="4"/>
      <c r="D13" s="4"/>
      <c r="E13" s="4"/>
      <c r="F13" s="4"/>
      <c r="G13" s="4"/>
      <c r="H13" s="4"/>
      <c r="I13" s="4"/>
      <c r="J13" s="5"/>
    </row>
    <row r="14" ht="12.75" customHeight="1"/>
    <row r="15" ht="75.0" customHeight="1">
      <c r="A15" s="27" t="s">
        <v>121</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8"/>
      <c r="E26" s="28"/>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ref="C8"/>
    <hyperlink r:id="rId2" ref="C9"/>
    <hyperlink r:id="rId3" ref="C10"/>
  </hyperlinks>
  <printOptions/>
  <pageMargins bottom="0.75" footer="0.0" header="0.0" left="0.7" right="0.7" top="0.75"/>
  <pageSetup orientation="landscape"/>
  <drawing r:id="rId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44" t="s">
        <v>122</v>
      </c>
      <c r="C7" s="44" t="s">
        <v>123</v>
      </c>
      <c r="D7" s="44" t="s">
        <v>124</v>
      </c>
      <c r="E7" s="44" t="s">
        <v>125</v>
      </c>
      <c r="F7" s="45" t="s">
        <v>126</v>
      </c>
      <c r="G7" s="46" t="s">
        <v>127</v>
      </c>
      <c r="H7" s="44" t="s">
        <v>9</v>
      </c>
      <c r="I7" s="44" t="s">
        <v>128</v>
      </c>
      <c r="J7" s="44" t="s">
        <v>129</v>
      </c>
      <c r="K7" s="10"/>
      <c r="L7" s="10"/>
      <c r="M7" s="10"/>
      <c r="N7" s="10"/>
      <c r="O7" s="10"/>
      <c r="P7" s="10"/>
      <c r="Q7" s="10"/>
      <c r="R7" s="10"/>
      <c r="S7" s="10"/>
      <c r="T7" s="10"/>
      <c r="U7" s="10"/>
      <c r="V7" s="10"/>
      <c r="W7" s="10"/>
      <c r="X7" s="10"/>
      <c r="Y7" s="10"/>
      <c r="Z7" s="10"/>
    </row>
    <row r="8" ht="50.25" customHeight="1">
      <c r="A8" s="57" t="s">
        <v>12</v>
      </c>
      <c r="B8" s="33" t="s">
        <v>130</v>
      </c>
      <c r="C8" s="13" t="s">
        <v>131</v>
      </c>
      <c r="D8" s="48" t="s">
        <v>132</v>
      </c>
      <c r="E8" s="60">
        <v>510000.0</v>
      </c>
      <c r="F8" s="60">
        <v>607000.0</v>
      </c>
      <c r="G8" s="35">
        <v>147.0</v>
      </c>
      <c r="H8" s="36">
        <f t="shared" ref="H8:H10" si="1">G8*3900</f>
        <v>573300</v>
      </c>
      <c r="I8" s="33" t="s">
        <v>17</v>
      </c>
      <c r="J8" s="14" t="s">
        <v>133</v>
      </c>
    </row>
    <row r="9" ht="50.25" customHeight="1">
      <c r="A9" s="57" t="s">
        <v>19</v>
      </c>
      <c r="B9" s="48" t="s">
        <v>134</v>
      </c>
      <c r="C9" s="13" t="s">
        <v>135</v>
      </c>
      <c r="D9" s="14" t="s">
        <v>136</v>
      </c>
      <c r="E9" s="59">
        <v>480000.0</v>
      </c>
      <c r="F9" s="60">
        <v>571200.0</v>
      </c>
      <c r="G9" s="35">
        <v>139.0</v>
      </c>
      <c r="H9" s="36">
        <f t="shared" si="1"/>
        <v>542100</v>
      </c>
      <c r="I9" s="33" t="s">
        <v>17</v>
      </c>
      <c r="J9" s="14" t="s">
        <v>137</v>
      </c>
    </row>
    <row r="10" ht="50.25" customHeight="1">
      <c r="A10" s="57" t="s">
        <v>25</v>
      </c>
      <c r="B10" s="33" t="s">
        <v>138</v>
      </c>
      <c r="C10" s="13" t="s">
        <v>139</v>
      </c>
      <c r="D10" s="66" t="s">
        <v>140</v>
      </c>
      <c r="E10" s="59">
        <v>390000.0</v>
      </c>
      <c r="F10" s="60">
        <v>463800.0</v>
      </c>
      <c r="G10" s="35">
        <v>113.0</v>
      </c>
      <c r="H10" s="36">
        <f t="shared" si="1"/>
        <v>440700</v>
      </c>
      <c r="I10" s="33" t="s">
        <v>17</v>
      </c>
      <c r="J10" s="67" t="s">
        <v>141</v>
      </c>
    </row>
    <row r="11" hidden="1">
      <c r="A11" s="25"/>
      <c r="B11" s="62"/>
      <c r="C11" s="62"/>
      <c r="D11" s="62"/>
      <c r="E11" s="62"/>
      <c r="F11" s="62"/>
      <c r="G11" s="62"/>
      <c r="H11" s="62"/>
      <c r="I11" s="62"/>
      <c r="J11" s="62"/>
    </row>
    <row r="12" ht="12.75" customHeight="1"/>
    <row r="13" ht="138.75" customHeight="1">
      <c r="A13" s="27" t="s">
        <v>142</v>
      </c>
      <c r="B13" s="4"/>
      <c r="C13" s="4"/>
      <c r="D13" s="4"/>
      <c r="E13" s="4"/>
      <c r="F13" s="4"/>
      <c r="G13" s="4"/>
      <c r="H13" s="4"/>
      <c r="I13" s="4"/>
      <c r="J13" s="5"/>
    </row>
    <row r="14" ht="12.75" customHeight="1"/>
    <row r="15" ht="75.0" customHeight="1">
      <c r="A15" s="27" t="s">
        <v>143</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8"/>
      <c r="E26" s="28"/>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ref="C8"/>
    <hyperlink r:id="rId2" ref="C9"/>
    <hyperlink r:id="rId3" ref="C10"/>
  </hyperlinks>
  <printOptions/>
  <pageMargins bottom="0.75" footer="0.0" header="0.0" left="0.7" right="0.7" top="0.75"/>
  <pageSetup orientation="landscape"/>
  <drawing r:id="rId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row r="2" ht="27.75" customHeight="1">
      <c r="D2" s="2" t="s">
        <v>0</v>
      </c>
    </row>
    <row r="3" ht="12.75" customHeight="1"/>
    <row r="4" ht="12.75" customHeight="1"/>
    <row r="5" ht="43.5" customHeight="1">
      <c r="A5" s="68">
        <v>0.0</v>
      </c>
      <c r="B5" s="4"/>
      <c r="C5" s="4"/>
      <c r="D5" s="4"/>
      <c r="E5" s="4"/>
      <c r="F5" s="4"/>
      <c r="G5" s="4"/>
      <c r="H5" s="4"/>
      <c r="I5" s="4"/>
      <c r="J5" s="5"/>
    </row>
    <row r="6" ht="15.75" customHeight="1"/>
    <row r="7" ht="75.75" customHeight="1">
      <c r="A7" s="6" t="s">
        <v>2</v>
      </c>
      <c r="B7" s="44" t="s">
        <v>144</v>
      </c>
      <c r="C7" s="44" t="s">
        <v>145</v>
      </c>
      <c r="D7" s="44" t="s">
        <v>146</v>
      </c>
      <c r="E7" s="44" t="s">
        <v>147</v>
      </c>
      <c r="F7" s="45" t="s">
        <v>148</v>
      </c>
      <c r="G7" s="46" t="s">
        <v>149</v>
      </c>
      <c r="H7" s="44" t="s">
        <v>9</v>
      </c>
      <c r="I7" s="44" t="s">
        <v>150</v>
      </c>
      <c r="J7" s="44" t="s">
        <v>151</v>
      </c>
      <c r="K7" s="10"/>
      <c r="L7" s="10"/>
      <c r="M7" s="10"/>
      <c r="N7" s="10"/>
      <c r="O7" s="10"/>
      <c r="P7" s="10"/>
      <c r="Q7" s="10"/>
      <c r="R7" s="10"/>
      <c r="S7" s="10"/>
      <c r="T7" s="10"/>
      <c r="U7" s="10"/>
      <c r="V7" s="10"/>
      <c r="W7" s="10"/>
      <c r="X7" s="10"/>
      <c r="Y7" s="10"/>
      <c r="Z7" s="10"/>
    </row>
    <row r="8" ht="50.25" customHeight="1">
      <c r="A8" s="57" t="s">
        <v>12</v>
      </c>
      <c r="B8" s="69" t="s">
        <v>152</v>
      </c>
      <c r="C8" s="13" t="s">
        <v>153</v>
      </c>
      <c r="D8" s="49" t="s">
        <v>154</v>
      </c>
      <c r="E8" s="70">
        <v>45000.0</v>
      </c>
      <c r="F8" s="60">
        <v>54000.0</v>
      </c>
      <c r="G8" s="35">
        <v>25.5</v>
      </c>
      <c r="H8" s="36">
        <v>2117.64</v>
      </c>
      <c r="I8" s="33" t="s">
        <v>17</v>
      </c>
      <c r="J8" s="71" t="s">
        <v>155</v>
      </c>
    </row>
    <row r="9" ht="50.25" customHeight="1">
      <c r="A9" s="57" t="s">
        <v>19</v>
      </c>
      <c r="B9" s="72" t="s">
        <v>42</v>
      </c>
      <c r="C9" s="13" t="s">
        <v>156</v>
      </c>
      <c r="D9" s="41" t="s">
        <v>157</v>
      </c>
      <c r="E9" s="73">
        <v>120000.0</v>
      </c>
      <c r="F9" s="60">
        <v>142800.0</v>
      </c>
      <c r="G9" s="35">
        <v>67.5</v>
      </c>
      <c r="H9" s="36">
        <v>2117.64</v>
      </c>
      <c r="I9" s="33" t="s">
        <v>158</v>
      </c>
      <c r="J9" s="40" t="s">
        <v>159</v>
      </c>
    </row>
    <row r="10" ht="50.25" customHeight="1">
      <c r="A10" s="57" t="s">
        <v>25</v>
      </c>
      <c r="B10" s="74" t="s">
        <v>13</v>
      </c>
      <c r="C10" s="33" t="s">
        <v>160</v>
      </c>
      <c r="D10" s="52" t="s">
        <v>161</v>
      </c>
      <c r="E10" s="75">
        <v>98500.0</v>
      </c>
      <c r="F10" s="75">
        <v>117215.0</v>
      </c>
      <c r="G10" s="35">
        <v>55.4</v>
      </c>
      <c r="H10" s="36">
        <v>2117.64</v>
      </c>
      <c r="I10" s="33" t="s">
        <v>17</v>
      </c>
      <c r="J10" s="76" t="s">
        <v>162</v>
      </c>
    </row>
    <row r="11" hidden="1">
      <c r="A11" s="77"/>
      <c r="B11" s="55"/>
      <c r="C11" s="33" t="s">
        <v>163</v>
      </c>
      <c r="D11" s="55"/>
      <c r="E11" s="55"/>
      <c r="F11" s="55"/>
      <c r="G11" s="56"/>
      <c r="H11" s="56"/>
      <c r="I11" s="56"/>
      <c r="J11" s="56"/>
    </row>
    <row r="12" ht="12.75" customHeight="1"/>
    <row r="13" ht="138.75" customHeight="1">
      <c r="A13" s="27" t="s">
        <v>164</v>
      </c>
      <c r="B13" s="4"/>
      <c r="C13" s="4"/>
      <c r="D13" s="4"/>
      <c r="E13" s="4"/>
      <c r="F13" s="4"/>
      <c r="G13" s="4"/>
      <c r="H13" s="4"/>
      <c r="I13" s="4"/>
      <c r="J13" s="5"/>
    </row>
    <row r="14" ht="12.75" customHeight="1"/>
    <row r="15" ht="75.0" customHeight="1">
      <c r="A15" s="27" t="s">
        <v>165</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8"/>
      <c r="E26" s="28"/>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D2:H2"/>
    <mergeCell ref="A5:J5"/>
    <mergeCell ref="B10:B11"/>
    <mergeCell ref="D10:D11"/>
    <mergeCell ref="E10:E11"/>
    <mergeCell ref="F10:F11"/>
    <mergeCell ref="A13:J13"/>
    <mergeCell ref="A15:J15"/>
  </mergeCells>
  <hyperlinks>
    <hyperlink r:id="rId1" ref="C8"/>
    <hyperlink r:id="rId2" location="polycard_client=search-nordic&amp;search_layout=stack&amp;position=2&amp;type=product&amp;tracking_id=32bffbc7-c186-4c7e-9907-3147aa461959&amp;wid=MCO1322984767&amp;sid=search" ref="C9"/>
  </hyperlinks>
  <printOptions/>
  <pageMargins bottom="0.75" footer="0.0" header="0.0" left="0.7" right="0.7" top="0.75"/>
  <pageSetup orientation="landscape"/>
  <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44" t="s">
        <v>166</v>
      </c>
      <c r="C7" s="44" t="s">
        <v>167</v>
      </c>
      <c r="D7" s="44" t="s">
        <v>168</v>
      </c>
      <c r="E7" s="44" t="s">
        <v>169</v>
      </c>
      <c r="F7" s="45" t="s">
        <v>170</v>
      </c>
      <c r="G7" s="46" t="s">
        <v>171</v>
      </c>
      <c r="H7" s="44" t="s">
        <v>9</v>
      </c>
      <c r="I7" s="44" t="s">
        <v>172</v>
      </c>
      <c r="J7" s="44" t="s">
        <v>173</v>
      </c>
      <c r="K7" s="10"/>
      <c r="L7" s="10"/>
      <c r="M7" s="10"/>
      <c r="N7" s="10"/>
      <c r="O7" s="10"/>
      <c r="P7" s="10"/>
      <c r="Q7" s="10"/>
      <c r="R7" s="10"/>
      <c r="S7" s="10"/>
      <c r="T7" s="10"/>
      <c r="U7" s="10"/>
      <c r="V7" s="10"/>
      <c r="W7" s="10"/>
      <c r="X7" s="10"/>
      <c r="Y7" s="10"/>
      <c r="Z7" s="10"/>
    </row>
    <row r="8" ht="50.25" customHeight="1">
      <c r="A8" s="57" t="s">
        <v>12</v>
      </c>
      <c r="B8" s="69" t="s">
        <v>174</v>
      </c>
      <c r="C8" s="13" t="s">
        <v>175</v>
      </c>
      <c r="D8" s="78" t="s">
        <v>176</v>
      </c>
      <c r="E8" s="59">
        <v>49900.0</v>
      </c>
      <c r="F8" s="60">
        <v>59381.0</v>
      </c>
      <c r="G8" s="35">
        <v>27.31</v>
      </c>
      <c r="H8" s="79">
        <v>2174.0</v>
      </c>
      <c r="I8" s="80" t="s">
        <v>67</v>
      </c>
      <c r="J8" s="81" t="s">
        <v>177</v>
      </c>
    </row>
    <row r="9" ht="50.25" customHeight="1">
      <c r="A9" s="57" t="s">
        <v>19</v>
      </c>
      <c r="B9" s="72" t="s">
        <v>26</v>
      </c>
      <c r="C9" s="13" t="s">
        <v>178</v>
      </c>
      <c r="D9" s="33" t="s">
        <v>179</v>
      </c>
      <c r="E9" s="60">
        <v>32900.0</v>
      </c>
      <c r="F9" s="60">
        <v>39151.0</v>
      </c>
      <c r="G9" s="35">
        <v>18.0</v>
      </c>
      <c r="H9" s="79">
        <v>2175.0</v>
      </c>
      <c r="I9" s="80" t="s">
        <v>67</v>
      </c>
      <c r="J9" s="82" t="s">
        <v>180</v>
      </c>
    </row>
    <row r="10" ht="50.25" customHeight="1">
      <c r="A10" s="57" t="s">
        <v>25</v>
      </c>
      <c r="B10" s="69" t="s">
        <v>181</v>
      </c>
      <c r="C10" s="13" t="s">
        <v>182</v>
      </c>
      <c r="D10" s="33" t="s">
        <v>183</v>
      </c>
      <c r="E10" s="59">
        <v>89900.0</v>
      </c>
      <c r="F10" s="60">
        <v>105981.0</v>
      </c>
      <c r="G10" s="35">
        <v>48.68</v>
      </c>
      <c r="H10" s="79">
        <v>2177.0</v>
      </c>
      <c r="I10" s="80" t="s">
        <v>67</v>
      </c>
      <c r="J10" s="83" t="s">
        <v>184</v>
      </c>
    </row>
    <row r="11" hidden="1">
      <c r="A11" s="25"/>
      <c r="B11" s="62"/>
      <c r="C11" s="62"/>
      <c r="D11" s="62"/>
      <c r="E11" s="62"/>
      <c r="F11" s="62"/>
      <c r="G11" s="62"/>
      <c r="H11" s="62"/>
      <c r="I11" s="84" t="s">
        <v>67</v>
      </c>
      <c r="J11" s="62"/>
    </row>
    <row r="12" ht="12.75" customHeight="1"/>
    <row r="13" ht="138.75" customHeight="1">
      <c r="A13" s="27" t="s">
        <v>185</v>
      </c>
      <c r="B13" s="4"/>
      <c r="C13" s="4"/>
      <c r="D13" s="4"/>
      <c r="E13" s="4"/>
      <c r="F13" s="4"/>
      <c r="G13" s="4"/>
      <c r="H13" s="4"/>
      <c r="I13" s="4"/>
      <c r="J13" s="5"/>
    </row>
    <row r="14" ht="12.75" customHeight="1"/>
    <row r="15" ht="75.0" customHeight="1">
      <c r="A15" s="27" t="s">
        <v>186</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8"/>
      <c r="E26" s="28"/>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ref="C8"/>
    <hyperlink r:id="rId2" ref="C9"/>
    <hyperlink r:id="rId3" ref="C10"/>
  </hyperlinks>
  <printOptions/>
  <pageMargins bottom="0.75" footer="0.0" header="0.0" left="0.7" right="0.7" top="0.75"/>
  <pageSetup orientation="landscape"/>
  <drawing r:id="rId4"/>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44" t="s">
        <v>187</v>
      </c>
      <c r="C7" s="44" t="s">
        <v>188</v>
      </c>
      <c r="D7" s="44" t="s">
        <v>189</v>
      </c>
      <c r="E7" s="44" t="s">
        <v>190</v>
      </c>
      <c r="F7" s="45" t="s">
        <v>191</v>
      </c>
      <c r="G7" s="46" t="s">
        <v>192</v>
      </c>
      <c r="H7" s="44" t="s">
        <v>9</v>
      </c>
      <c r="I7" s="44" t="s">
        <v>193</v>
      </c>
      <c r="J7" s="44" t="s">
        <v>194</v>
      </c>
      <c r="K7" s="10"/>
      <c r="L7" s="10"/>
      <c r="M7" s="10"/>
      <c r="N7" s="10"/>
      <c r="O7" s="10"/>
      <c r="P7" s="10"/>
      <c r="Q7" s="10"/>
      <c r="R7" s="10"/>
      <c r="S7" s="10"/>
      <c r="T7" s="10"/>
      <c r="U7" s="10"/>
      <c r="V7" s="10"/>
      <c r="W7" s="10"/>
      <c r="X7" s="10"/>
      <c r="Y7" s="10"/>
      <c r="Z7" s="10"/>
    </row>
    <row r="8" ht="50.25" customHeight="1">
      <c r="A8" s="57" t="s">
        <v>12</v>
      </c>
      <c r="B8" s="69" t="s">
        <v>195</v>
      </c>
      <c r="C8" s="13" t="s">
        <v>196</v>
      </c>
      <c r="D8" s="14" t="s">
        <v>197</v>
      </c>
      <c r="E8" s="59">
        <v>1799000.0</v>
      </c>
      <c r="F8" s="59">
        <v>2140810.0</v>
      </c>
      <c r="G8" s="35">
        <v>1010.0</v>
      </c>
      <c r="H8" s="36">
        <v>2120000.0</v>
      </c>
      <c r="I8" s="33" t="s">
        <v>67</v>
      </c>
      <c r="J8" s="64" t="s">
        <v>198</v>
      </c>
    </row>
    <row r="9" ht="50.25" customHeight="1">
      <c r="A9" s="57" t="s">
        <v>19</v>
      </c>
      <c r="B9" s="72" t="s">
        <v>199</v>
      </c>
      <c r="C9" s="13" t="s">
        <v>200</v>
      </c>
      <c r="D9" s="41" t="s">
        <v>201</v>
      </c>
      <c r="E9" s="60">
        <v>1599900.0</v>
      </c>
      <c r="F9" s="59">
        <v>1903881.0</v>
      </c>
      <c r="G9" s="35">
        <v>898.0</v>
      </c>
      <c r="H9" s="36">
        <v>2120000.0</v>
      </c>
      <c r="I9" s="33" t="s">
        <v>67</v>
      </c>
      <c r="J9" s="85" t="s">
        <v>202</v>
      </c>
    </row>
    <row r="10" ht="50.25" customHeight="1">
      <c r="A10" s="57" t="s">
        <v>25</v>
      </c>
      <c r="B10" s="69" t="s">
        <v>203</v>
      </c>
      <c r="C10" s="13" t="s">
        <v>204</v>
      </c>
      <c r="D10" s="41" t="s">
        <v>205</v>
      </c>
      <c r="E10" s="59">
        <v>2349000.0</v>
      </c>
      <c r="F10" s="59">
        <v>2795310.0</v>
      </c>
      <c r="G10" s="35">
        <v>1318.0</v>
      </c>
      <c r="H10" s="36">
        <v>2120000.0</v>
      </c>
      <c r="I10" s="33" t="s">
        <v>67</v>
      </c>
      <c r="J10" s="85" t="s">
        <v>206</v>
      </c>
    </row>
    <row r="11" hidden="1">
      <c r="A11" s="25"/>
      <c r="B11" s="62"/>
      <c r="C11" s="62"/>
      <c r="D11" s="62"/>
      <c r="E11" s="62"/>
      <c r="F11" s="62"/>
      <c r="G11" s="62"/>
      <c r="H11" s="62"/>
      <c r="I11" s="62"/>
      <c r="J11" s="62"/>
    </row>
    <row r="12" ht="12.75" customHeight="1"/>
    <row r="13" ht="138.75" customHeight="1">
      <c r="A13" s="27" t="s">
        <v>207</v>
      </c>
      <c r="B13" s="4"/>
      <c r="C13" s="4"/>
      <c r="D13" s="4"/>
      <c r="E13" s="4"/>
      <c r="F13" s="4"/>
      <c r="G13" s="4"/>
      <c r="H13" s="4"/>
      <c r="I13" s="4"/>
      <c r="J13" s="5"/>
    </row>
    <row r="14" ht="12.75" customHeight="1"/>
    <row r="15" ht="75.0" customHeight="1">
      <c r="A15" s="27" t="s">
        <v>208</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8"/>
      <c r="E26" s="28"/>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ref="C8"/>
    <hyperlink r:id="rId2" ref="C9"/>
    <hyperlink r:id="rId3" ref="C10"/>
  </hyperlinks>
  <printOptions/>
  <pageMargins bottom="0.75" footer="0.0" header="0.0" left="0.7" right="0.7" top="0.75"/>
  <pageSetup orientation="landscape"/>
  <drawing r:id="rId4"/>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44" t="s">
        <v>209</v>
      </c>
      <c r="C7" s="44" t="s">
        <v>210</v>
      </c>
      <c r="D7" s="44" t="s">
        <v>211</v>
      </c>
      <c r="E7" s="44" t="s">
        <v>212</v>
      </c>
      <c r="F7" s="45" t="s">
        <v>213</v>
      </c>
      <c r="G7" s="46" t="s">
        <v>214</v>
      </c>
      <c r="H7" s="44" t="s">
        <v>9</v>
      </c>
      <c r="I7" s="44" t="s">
        <v>215</v>
      </c>
      <c r="J7" s="44" t="s">
        <v>216</v>
      </c>
      <c r="K7" s="10"/>
      <c r="L7" s="10"/>
      <c r="M7" s="10"/>
      <c r="N7" s="10"/>
      <c r="O7" s="10"/>
      <c r="P7" s="10"/>
      <c r="Q7" s="10"/>
      <c r="R7" s="10"/>
      <c r="S7" s="10"/>
      <c r="T7" s="10"/>
      <c r="U7" s="10"/>
      <c r="V7" s="10"/>
      <c r="W7" s="10"/>
      <c r="X7" s="10"/>
      <c r="Y7" s="10"/>
      <c r="Z7" s="10"/>
    </row>
    <row r="8" ht="50.25" customHeight="1">
      <c r="A8" s="57" t="s">
        <v>12</v>
      </c>
      <c r="B8" s="69" t="s">
        <v>217</v>
      </c>
      <c r="C8" s="13" t="s">
        <v>218</v>
      </c>
      <c r="D8" s="41" t="s">
        <v>219</v>
      </c>
      <c r="E8" s="59">
        <v>899000.0</v>
      </c>
      <c r="F8" s="59">
        <v>1070810.0</v>
      </c>
      <c r="G8" s="35">
        <v>508.0</v>
      </c>
      <c r="H8" s="36">
        <v>2110000.0</v>
      </c>
      <c r="I8" s="33" t="s">
        <v>17</v>
      </c>
      <c r="J8" s="85" t="s">
        <v>220</v>
      </c>
    </row>
    <row r="9" ht="50.25" customHeight="1">
      <c r="A9" s="57" t="s">
        <v>19</v>
      </c>
      <c r="B9" s="69" t="s">
        <v>90</v>
      </c>
      <c r="C9" s="38" t="s">
        <v>221</v>
      </c>
      <c r="D9" s="49" t="s">
        <v>222</v>
      </c>
      <c r="E9" s="60">
        <v>1599900.0</v>
      </c>
      <c r="F9" s="59">
        <v>1903881.0</v>
      </c>
      <c r="G9" s="35">
        <v>902.0</v>
      </c>
      <c r="H9" s="36">
        <v>2110000.0</v>
      </c>
      <c r="I9" s="33" t="s">
        <v>17</v>
      </c>
      <c r="J9" s="49" t="s">
        <v>223</v>
      </c>
    </row>
    <row r="10" ht="50.25" customHeight="1">
      <c r="A10" s="57" t="s">
        <v>25</v>
      </c>
      <c r="B10" s="69" t="s">
        <v>224</v>
      </c>
      <c r="C10" s="13" t="s">
        <v>225</v>
      </c>
      <c r="D10" s="14" t="s">
        <v>226</v>
      </c>
      <c r="E10" s="59">
        <v>1299000.0</v>
      </c>
      <c r="F10" s="59">
        <v>1545810.0</v>
      </c>
      <c r="G10" s="35">
        <v>732.0</v>
      </c>
      <c r="H10" s="36">
        <v>2110000.0</v>
      </c>
      <c r="I10" s="33" t="s">
        <v>17</v>
      </c>
      <c r="J10" s="49" t="s">
        <v>227</v>
      </c>
    </row>
    <row r="11" hidden="1">
      <c r="A11" s="25"/>
      <c r="B11" s="62"/>
      <c r="C11" s="62"/>
      <c r="D11" s="62"/>
      <c r="E11" s="62"/>
      <c r="F11" s="62"/>
      <c r="G11" s="62"/>
      <c r="H11" s="62"/>
      <c r="I11" s="62"/>
      <c r="J11" s="62"/>
    </row>
    <row r="12" ht="12.75" customHeight="1"/>
    <row r="13" ht="138.75" customHeight="1">
      <c r="A13" s="27" t="s">
        <v>228</v>
      </c>
      <c r="B13" s="4"/>
      <c r="C13" s="4"/>
      <c r="D13" s="4"/>
      <c r="E13" s="4"/>
      <c r="F13" s="4"/>
      <c r="G13" s="4"/>
      <c r="H13" s="4"/>
      <c r="I13" s="4"/>
      <c r="J13" s="5"/>
    </row>
    <row r="14" ht="12.75" customHeight="1"/>
    <row r="15" ht="75.0" customHeight="1">
      <c r="A15" s="27" t="s">
        <v>229</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8"/>
      <c r="E26" s="28"/>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ref="C8"/>
    <hyperlink r:id="rId2" ref="C9"/>
    <hyperlink r:id="rId3" location="is_advertising=true&amp;searchVariation=MCO24122328&amp;position=10&amp;search_layout=stack&amp;type=pad&amp;tracking_id=7415b802-551f-4627-8fe6-d6c65a3e40c2&amp;is_advertising=true&amp;ad_domain=VQCATCORE_LST&amp;ad_position=10&amp;ad_click_id=ODk2ZGUwZDQtYTZlMS00YjZkLWJkNmUtYjc0N2NkYWY4OTdl" ref="C10"/>
  </hyperlinks>
  <printOptions/>
  <pageMargins bottom="0.75" footer="0.0" header="0.0" left="0.7" right="0.7" top="0.75"/>
  <pageSetup orientation="landscape"/>
  <drawing r:id="rId4"/>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c r="A1" s="1" t="s">
        <v>230</v>
      </c>
    </row>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44" t="s">
        <v>231</v>
      </c>
      <c r="C7" s="44" t="s">
        <v>232</v>
      </c>
      <c r="D7" s="44" t="s">
        <v>233</v>
      </c>
      <c r="E7" s="44" t="s">
        <v>234</v>
      </c>
      <c r="F7" s="45" t="s">
        <v>235</v>
      </c>
      <c r="G7" s="46" t="s">
        <v>236</v>
      </c>
      <c r="H7" s="44" t="s">
        <v>9</v>
      </c>
      <c r="I7" s="44" t="s">
        <v>237</v>
      </c>
      <c r="J7" s="44" t="s">
        <v>238</v>
      </c>
      <c r="K7" s="10"/>
      <c r="L7" s="10"/>
      <c r="M7" s="10"/>
      <c r="N7" s="10"/>
      <c r="O7" s="10"/>
      <c r="P7" s="10"/>
      <c r="Q7" s="10"/>
      <c r="R7" s="10"/>
      <c r="S7" s="10"/>
      <c r="T7" s="10"/>
      <c r="U7" s="10"/>
      <c r="V7" s="10"/>
      <c r="W7" s="10"/>
      <c r="X7" s="10"/>
      <c r="Y7" s="10"/>
      <c r="Z7" s="10"/>
    </row>
    <row r="8" ht="50.25" customHeight="1">
      <c r="A8" s="57" t="s">
        <v>12</v>
      </c>
      <c r="B8" s="86" t="s">
        <v>239</v>
      </c>
      <c r="C8" s="87" t="s">
        <v>240</v>
      </c>
      <c r="D8" s="88" t="s">
        <v>241</v>
      </c>
      <c r="E8" s="73">
        <v>299000.0</v>
      </c>
      <c r="F8" s="89">
        <v>355810.0</v>
      </c>
      <c r="G8" s="90">
        <v>90.0</v>
      </c>
      <c r="H8" s="91">
        <f t="shared" ref="H8:H10" si="1">G8*3900</f>
        <v>351000</v>
      </c>
      <c r="I8" s="86" t="s">
        <v>17</v>
      </c>
      <c r="J8" s="88" t="s">
        <v>242</v>
      </c>
    </row>
    <row r="9" ht="50.25" customHeight="1">
      <c r="A9" s="57" t="s">
        <v>19</v>
      </c>
      <c r="B9" s="86" t="s">
        <v>243</v>
      </c>
      <c r="C9" s="87" t="s">
        <v>244</v>
      </c>
      <c r="D9" s="88" t="s">
        <v>245</v>
      </c>
      <c r="E9" s="73">
        <v>210000.0</v>
      </c>
      <c r="F9" s="89">
        <v>249900.0</v>
      </c>
      <c r="G9" s="90">
        <v>63.0</v>
      </c>
      <c r="H9" s="91">
        <f t="shared" si="1"/>
        <v>245700</v>
      </c>
      <c r="I9" s="86" t="s">
        <v>17</v>
      </c>
      <c r="J9" s="88" t="s">
        <v>246</v>
      </c>
    </row>
    <row r="10" ht="50.25" customHeight="1">
      <c r="A10" s="57" t="s">
        <v>25</v>
      </c>
      <c r="B10" s="86" t="s">
        <v>247</v>
      </c>
      <c r="C10" s="87" t="s">
        <v>248</v>
      </c>
      <c r="D10" s="86" t="s">
        <v>249</v>
      </c>
      <c r="E10" s="73">
        <v>135000.0</v>
      </c>
      <c r="F10" s="89">
        <v>160650.0</v>
      </c>
      <c r="G10" s="90">
        <v>40.7</v>
      </c>
      <c r="H10" s="91">
        <f t="shared" si="1"/>
        <v>158730</v>
      </c>
      <c r="I10" s="86" t="s">
        <v>17</v>
      </c>
      <c r="J10" s="88" t="s">
        <v>250</v>
      </c>
    </row>
    <row r="11" hidden="1">
      <c r="A11" s="25"/>
      <c r="B11" s="62"/>
      <c r="C11" s="62"/>
      <c r="D11" s="62"/>
      <c r="E11" s="62"/>
      <c r="F11" s="62"/>
      <c r="G11" s="62"/>
      <c r="H11" s="62"/>
      <c r="I11" s="62"/>
      <c r="J11" s="62"/>
    </row>
    <row r="12" ht="12.75" customHeight="1"/>
    <row r="13" ht="138.75" customHeight="1">
      <c r="A13" s="27" t="s">
        <v>251</v>
      </c>
      <c r="B13" s="4"/>
      <c r="C13" s="4"/>
      <c r="D13" s="4"/>
      <c r="E13" s="4"/>
      <c r="F13" s="4"/>
      <c r="G13" s="4"/>
      <c r="H13" s="4"/>
      <c r="I13" s="4"/>
      <c r="J13" s="5"/>
    </row>
    <row r="14" ht="12.75" customHeight="1"/>
    <row r="15" ht="75.0" customHeight="1">
      <c r="A15" s="27" t="s">
        <v>252</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8"/>
      <c r="E26" s="28"/>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ref="C8"/>
    <hyperlink r:id="rId2" ref="C9"/>
    <hyperlink r:id="rId3" ref="C10"/>
  </hyperlinks>
  <printOptions/>
  <pageMargins bottom="0.75" footer="0.0" header="0.0" left="0.7" right="0.7" top="0.75"/>
  <pageSetup orientation="landscape"/>
  <drawing r:id="rId4"/>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5" width="17.0"/>
    <col customWidth="1" min="6" max="6" width="21.88"/>
    <col customWidth="1" min="7" max="7" width="18.0"/>
    <col customWidth="1" min="8" max="8" width="17.0"/>
    <col customWidth="1" min="9" max="10" width="19.13"/>
    <col customWidth="1" min="11" max="26" width="10.0"/>
  </cols>
  <sheetData>
    <row r="1" ht="12.75" customHeight="1"/>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44" t="s">
        <v>253</v>
      </c>
      <c r="C7" s="44" t="s">
        <v>254</v>
      </c>
      <c r="D7" s="44" t="s">
        <v>255</v>
      </c>
      <c r="E7" s="44" t="s">
        <v>256</v>
      </c>
      <c r="F7" s="45" t="s">
        <v>257</v>
      </c>
      <c r="G7" s="46" t="s">
        <v>258</v>
      </c>
      <c r="H7" s="44" t="s">
        <v>9</v>
      </c>
      <c r="I7" s="44" t="s">
        <v>259</v>
      </c>
      <c r="J7" s="44" t="s">
        <v>260</v>
      </c>
      <c r="K7" s="10"/>
      <c r="L7" s="10"/>
      <c r="M7" s="10"/>
      <c r="N7" s="10"/>
      <c r="O7" s="10"/>
      <c r="P7" s="10"/>
      <c r="Q7" s="10"/>
      <c r="R7" s="10"/>
      <c r="S7" s="10"/>
      <c r="T7" s="10"/>
      <c r="U7" s="10"/>
      <c r="V7" s="10"/>
      <c r="W7" s="10"/>
      <c r="X7" s="10"/>
      <c r="Y7" s="10"/>
      <c r="Z7" s="10"/>
    </row>
    <row r="8" ht="50.25" customHeight="1">
      <c r="A8" s="57" t="s">
        <v>12</v>
      </c>
      <c r="B8" s="86" t="s">
        <v>261</v>
      </c>
      <c r="C8" s="87" t="s">
        <v>262</v>
      </c>
      <c r="D8" s="88" t="s">
        <v>263</v>
      </c>
      <c r="E8" s="73">
        <v>2499000.0</v>
      </c>
      <c r="F8" s="89">
        <v>2973810.0</v>
      </c>
      <c r="G8" s="92">
        <v>750.0</v>
      </c>
      <c r="H8" s="93">
        <f t="shared" ref="H8:H10" si="1">G8*3900</f>
        <v>2925000</v>
      </c>
      <c r="I8" s="86" t="s">
        <v>67</v>
      </c>
      <c r="J8" s="88" t="s">
        <v>264</v>
      </c>
    </row>
    <row r="9" ht="50.25" customHeight="1">
      <c r="A9" s="57" t="s">
        <v>19</v>
      </c>
      <c r="B9" s="86" t="s">
        <v>265</v>
      </c>
      <c r="C9" s="87" t="s">
        <v>266</v>
      </c>
      <c r="D9" s="88" t="s">
        <v>267</v>
      </c>
      <c r="E9" s="73">
        <v>2699000.0</v>
      </c>
      <c r="F9" s="89">
        <v>3215810.0</v>
      </c>
      <c r="G9" s="92">
        <v>810.0</v>
      </c>
      <c r="H9" s="93">
        <f t="shared" si="1"/>
        <v>3159000</v>
      </c>
      <c r="I9" s="86" t="s">
        <v>67</v>
      </c>
      <c r="J9" s="88" t="s">
        <v>268</v>
      </c>
    </row>
    <row r="10" ht="50.25" customHeight="1">
      <c r="A10" s="57" t="s">
        <v>25</v>
      </c>
      <c r="B10" s="86" t="s">
        <v>269</v>
      </c>
      <c r="C10" s="87" t="s">
        <v>270</v>
      </c>
      <c r="D10" s="88" t="s">
        <v>271</v>
      </c>
      <c r="E10" s="73">
        <v>3099000.0</v>
      </c>
      <c r="F10" s="89">
        <v>3688810.0</v>
      </c>
      <c r="G10" s="92">
        <v>930.0</v>
      </c>
      <c r="H10" s="93">
        <f t="shared" si="1"/>
        <v>3627000</v>
      </c>
      <c r="I10" s="86" t="s">
        <v>67</v>
      </c>
      <c r="J10" s="88" t="s">
        <v>272</v>
      </c>
    </row>
    <row r="11" hidden="1">
      <c r="A11" s="25"/>
      <c r="B11" s="62"/>
      <c r="C11" s="62"/>
      <c r="D11" s="62"/>
      <c r="E11" s="62"/>
      <c r="F11" s="62"/>
      <c r="G11" s="62"/>
      <c r="H11" s="62"/>
      <c r="I11" s="62"/>
      <c r="J11" s="62"/>
    </row>
    <row r="12" ht="12.75" customHeight="1"/>
    <row r="13" ht="138.75" customHeight="1">
      <c r="A13" s="27" t="s">
        <v>273</v>
      </c>
      <c r="B13" s="4"/>
      <c r="C13" s="4"/>
      <c r="D13" s="4"/>
      <c r="E13" s="4"/>
      <c r="F13" s="4"/>
      <c r="G13" s="4"/>
      <c r="H13" s="4"/>
      <c r="I13" s="4"/>
      <c r="J13" s="5"/>
    </row>
    <row r="14" ht="12.75" customHeight="1"/>
    <row r="15" ht="75.0" customHeight="1">
      <c r="A15" s="27" t="s">
        <v>274</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8"/>
      <c r="E26" s="28"/>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ref="C8"/>
    <hyperlink r:id="rId2" ref="C9"/>
    <hyperlink r:id="rId3" ref="C10"/>
  </hyperlinks>
  <printOptions/>
  <pageMargins bottom="0.75" footer="0.0" header="0.0" left="0.7" right="0.7" top="0.75"/>
  <pageSetup orientation="landscape"/>
  <drawing r:id="rId4"/>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44" t="s">
        <v>275</v>
      </c>
      <c r="C7" s="44" t="s">
        <v>276</v>
      </c>
      <c r="D7" s="44" t="s">
        <v>277</v>
      </c>
      <c r="E7" s="44" t="s">
        <v>278</v>
      </c>
      <c r="F7" s="45" t="s">
        <v>279</v>
      </c>
      <c r="G7" s="46" t="s">
        <v>280</v>
      </c>
      <c r="H7" s="44" t="s">
        <v>9</v>
      </c>
      <c r="I7" s="44" t="s">
        <v>281</v>
      </c>
      <c r="J7" s="44" t="s">
        <v>282</v>
      </c>
      <c r="K7" s="10"/>
      <c r="L7" s="10"/>
      <c r="M7" s="10"/>
      <c r="N7" s="10"/>
      <c r="O7" s="10"/>
      <c r="P7" s="10"/>
      <c r="Q7" s="10"/>
      <c r="R7" s="10"/>
      <c r="S7" s="10"/>
      <c r="T7" s="10"/>
      <c r="U7" s="10"/>
      <c r="V7" s="10"/>
      <c r="W7" s="10"/>
      <c r="X7" s="10"/>
      <c r="Y7" s="10"/>
      <c r="Z7" s="10"/>
    </row>
    <row r="8" ht="50.25" customHeight="1">
      <c r="A8" s="57" t="s">
        <v>12</v>
      </c>
      <c r="B8" s="86" t="s">
        <v>283</v>
      </c>
      <c r="C8" s="87" t="s">
        <v>284</v>
      </c>
      <c r="D8" s="88" t="s">
        <v>285</v>
      </c>
      <c r="E8" s="73">
        <v>799000.0</v>
      </c>
      <c r="F8" s="89">
        <v>950810.0</v>
      </c>
      <c r="G8" s="89">
        <v>240.0</v>
      </c>
      <c r="H8" s="94">
        <f t="shared" ref="H8:H10" si="1">G8*3900</f>
        <v>936000</v>
      </c>
      <c r="I8" s="86" t="s">
        <v>17</v>
      </c>
      <c r="J8" s="88" t="s">
        <v>286</v>
      </c>
    </row>
    <row r="9" ht="50.25" customHeight="1">
      <c r="A9" s="57" t="s">
        <v>19</v>
      </c>
      <c r="B9" s="86" t="s">
        <v>287</v>
      </c>
      <c r="C9" s="87" t="s">
        <v>288</v>
      </c>
      <c r="D9" s="88" t="s">
        <v>289</v>
      </c>
      <c r="E9" s="73">
        <v>729000.0</v>
      </c>
      <c r="F9" s="89">
        <v>868510.0</v>
      </c>
      <c r="G9" s="89">
        <v>219.0</v>
      </c>
      <c r="H9" s="94">
        <f t="shared" si="1"/>
        <v>854100</v>
      </c>
      <c r="I9" s="86" t="s">
        <v>17</v>
      </c>
      <c r="J9" s="88" t="s">
        <v>290</v>
      </c>
    </row>
    <row r="10" ht="50.25" customHeight="1">
      <c r="A10" s="57" t="s">
        <v>25</v>
      </c>
      <c r="B10" s="86" t="s">
        <v>291</v>
      </c>
      <c r="C10" s="87" t="s">
        <v>292</v>
      </c>
      <c r="D10" s="88" t="s">
        <v>293</v>
      </c>
      <c r="E10" s="73">
        <v>659000.0</v>
      </c>
      <c r="F10" s="89">
        <v>785210.0</v>
      </c>
      <c r="G10" s="89">
        <v>197.0</v>
      </c>
      <c r="H10" s="94">
        <f t="shared" si="1"/>
        <v>768300</v>
      </c>
      <c r="I10" s="86" t="s">
        <v>17</v>
      </c>
      <c r="J10" s="88" t="s">
        <v>294</v>
      </c>
    </row>
    <row r="11" hidden="1">
      <c r="A11" s="25"/>
      <c r="B11" s="62"/>
      <c r="C11" s="62"/>
      <c r="D11" s="62"/>
      <c r="E11" s="62"/>
      <c r="F11" s="62"/>
      <c r="G11" s="62"/>
      <c r="H11" s="62"/>
      <c r="I11" s="62"/>
      <c r="J11" s="62"/>
    </row>
    <row r="12" ht="12.75" customHeight="1"/>
    <row r="13" ht="138.75" customHeight="1">
      <c r="A13" s="27" t="s">
        <v>295</v>
      </c>
      <c r="B13" s="4"/>
      <c r="C13" s="4"/>
      <c r="D13" s="4"/>
      <c r="E13" s="4"/>
      <c r="F13" s="4"/>
      <c r="G13" s="4"/>
      <c r="H13" s="4"/>
      <c r="I13" s="4"/>
      <c r="J13" s="5"/>
    </row>
    <row r="14" ht="12.75" customHeight="1"/>
    <row r="15" ht="75.0" customHeight="1">
      <c r="A15" s="27" t="s">
        <v>296</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8"/>
      <c r="E26" s="28"/>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ref="C8"/>
    <hyperlink r:id="rId2" ref="C9"/>
    <hyperlink r:id="rId3" ref="C10"/>
  </hyperlinks>
  <printOptions/>
  <pageMargins bottom="0.75" footer="0.0" header="0.0" left="0.7" right="0.7" top="0.75"/>
  <pageSetup orientation="landscape"/>
  <drawing r:id="rId4"/>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44" t="s">
        <v>297</v>
      </c>
      <c r="C7" s="44" t="s">
        <v>298</v>
      </c>
      <c r="D7" s="44" t="s">
        <v>299</v>
      </c>
      <c r="E7" s="44" t="s">
        <v>300</v>
      </c>
      <c r="F7" s="45" t="s">
        <v>301</v>
      </c>
      <c r="G7" s="46" t="s">
        <v>302</v>
      </c>
      <c r="H7" s="44" t="s">
        <v>9</v>
      </c>
      <c r="I7" s="44" t="s">
        <v>303</v>
      </c>
      <c r="J7" s="44" t="s">
        <v>304</v>
      </c>
      <c r="K7" s="10"/>
      <c r="L7" s="10"/>
      <c r="M7" s="10"/>
      <c r="N7" s="10"/>
      <c r="O7" s="10"/>
      <c r="P7" s="10"/>
      <c r="Q7" s="10"/>
      <c r="R7" s="10"/>
      <c r="S7" s="10"/>
      <c r="T7" s="10"/>
      <c r="U7" s="10"/>
      <c r="V7" s="10"/>
      <c r="W7" s="10"/>
      <c r="X7" s="10"/>
      <c r="Y7" s="10"/>
      <c r="Z7" s="10"/>
    </row>
    <row r="8" ht="50.25" customHeight="1">
      <c r="A8" s="57" t="s">
        <v>12</v>
      </c>
      <c r="B8" s="86" t="s">
        <v>305</v>
      </c>
      <c r="C8" s="87" t="s">
        <v>306</v>
      </c>
      <c r="D8" s="88" t="s">
        <v>307</v>
      </c>
      <c r="E8" s="89" t="s">
        <v>308</v>
      </c>
      <c r="F8" s="89" t="s">
        <v>309</v>
      </c>
      <c r="G8" s="95" t="s">
        <v>310</v>
      </c>
      <c r="H8" s="93" t="s">
        <v>311</v>
      </c>
      <c r="I8" s="86" t="s">
        <v>67</v>
      </c>
      <c r="J8" s="88" t="s">
        <v>312</v>
      </c>
    </row>
    <row r="9" ht="50.25" customHeight="1">
      <c r="A9" s="57" t="s">
        <v>19</v>
      </c>
      <c r="B9" s="86" t="s">
        <v>313</v>
      </c>
      <c r="C9" s="87" t="s">
        <v>314</v>
      </c>
      <c r="D9" s="88" t="s">
        <v>315</v>
      </c>
      <c r="E9" s="73" t="s">
        <v>316</v>
      </c>
      <c r="F9" s="89" t="s">
        <v>317</v>
      </c>
      <c r="G9" s="95" t="s">
        <v>318</v>
      </c>
      <c r="H9" s="93" t="s">
        <v>311</v>
      </c>
      <c r="I9" s="86" t="s">
        <v>67</v>
      </c>
      <c r="J9" s="88" t="s">
        <v>319</v>
      </c>
    </row>
    <row r="10" ht="50.25" customHeight="1">
      <c r="A10" s="57" t="s">
        <v>25</v>
      </c>
      <c r="B10" s="86" t="s">
        <v>320</v>
      </c>
      <c r="C10" s="87" t="s">
        <v>321</v>
      </c>
      <c r="D10" s="88" t="s">
        <v>322</v>
      </c>
      <c r="E10" s="89" t="s">
        <v>323</v>
      </c>
      <c r="F10" s="89" t="s">
        <v>310</v>
      </c>
      <c r="G10" s="95" t="s">
        <v>324</v>
      </c>
      <c r="H10" s="93" t="s">
        <v>311</v>
      </c>
      <c r="I10" s="86" t="s">
        <v>67</v>
      </c>
      <c r="J10" s="88" t="s">
        <v>325</v>
      </c>
    </row>
    <row r="11" hidden="1">
      <c r="A11" s="25"/>
      <c r="B11" s="62"/>
      <c r="C11" s="62"/>
      <c r="D11" s="62"/>
      <c r="E11" s="62"/>
      <c r="F11" s="62"/>
      <c r="G11" s="62"/>
      <c r="H11" s="62"/>
      <c r="I11" s="62"/>
      <c r="J11" s="62"/>
    </row>
    <row r="12" ht="12.75" customHeight="1"/>
    <row r="13" ht="138.75" customHeight="1">
      <c r="A13" s="27" t="s">
        <v>326</v>
      </c>
      <c r="B13" s="4"/>
      <c r="C13" s="4"/>
      <c r="D13" s="4"/>
      <c r="E13" s="4"/>
      <c r="F13" s="4"/>
      <c r="G13" s="4"/>
      <c r="H13" s="4"/>
      <c r="I13" s="4"/>
      <c r="J13" s="5"/>
    </row>
    <row r="14" ht="12.75" customHeight="1"/>
    <row r="15" ht="75.0" customHeight="1">
      <c r="A15" s="27" t="s">
        <v>327</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8"/>
      <c r="E26" s="28"/>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ref="C8"/>
    <hyperlink r:id="rId2" ref="C9"/>
    <hyperlink r:id="rId3" ref="C10"/>
  </hyperlinks>
  <printOptions/>
  <pageMargins bottom="0.75" footer="0.0" header="0.0" left="0.7" right="0.7" top="0.75"/>
  <pageSetup orientation="landscape"/>
  <drawing r:id="rId4"/>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44" t="s">
        <v>328</v>
      </c>
      <c r="C7" s="44" t="s">
        <v>329</v>
      </c>
      <c r="D7" s="44" t="s">
        <v>330</v>
      </c>
      <c r="E7" s="44" t="s">
        <v>331</v>
      </c>
      <c r="F7" s="45" t="s">
        <v>332</v>
      </c>
      <c r="G7" s="46" t="s">
        <v>333</v>
      </c>
      <c r="H7" s="44" t="s">
        <v>9</v>
      </c>
      <c r="I7" s="44" t="s">
        <v>334</v>
      </c>
      <c r="J7" s="44" t="s">
        <v>335</v>
      </c>
      <c r="K7" s="10"/>
      <c r="L7" s="10"/>
      <c r="M7" s="10"/>
      <c r="N7" s="10"/>
      <c r="O7" s="10"/>
      <c r="P7" s="10"/>
      <c r="Q7" s="10"/>
      <c r="R7" s="10"/>
      <c r="S7" s="10"/>
      <c r="T7" s="10"/>
      <c r="U7" s="10"/>
      <c r="V7" s="10"/>
      <c r="W7" s="10"/>
      <c r="X7" s="10"/>
      <c r="Y7" s="10"/>
      <c r="Z7" s="10"/>
    </row>
    <row r="8" ht="50.25" customHeight="1">
      <c r="A8" s="57" t="s">
        <v>12</v>
      </c>
      <c r="B8" s="86" t="s">
        <v>336</v>
      </c>
      <c r="C8" s="87" t="s">
        <v>337</v>
      </c>
      <c r="D8" s="88" t="s">
        <v>338</v>
      </c>
      <c r="E8" s="89" t="s">
        <v>339</v>
      </c>
      <c r="F8" s="89" t="s">
        <v>340</v>
      </c>
      <c r="G8" s="95" t="s">
        <v>341</v>
      </c>
      <c r="H8" s="93" t="s">
        <v>342</v>
      </c>
      <c r="I8" s="86" t="s">
        <v>67</v>
      </c>
      <c r="J8" s="96" t="s">
        <v>343</v>
      </c>
    </row>
    <row r="9" ht="50.25" customHeight="1">
      <c r="A9" s="57" t="s">
        <v>19</v>
      </c>
      <c r="B9" s="86" t="s">
        <v>90</v>
      </c>
      <c r="C9" s="87" t="s">
        <v>344</v>
      </c>
      <c r="D9" s="88" t="s">
        <v>345</v>
      </c>
      <c r="E9" s="89" t="s">
        <v>346</v>
      </c>
      <c r="F9" s="89" t="s">
        <v>347</v>
      </c>
      <c r="G9" s="95" t="s">
        <v>348</v>
      </c>
      <c r="H9" s="93" t="s">
        <v>342</v>
      </c>
      <c r="I9" s="86" t="s">
        <v>67</v>
      </c>
      <c r="J9" s="96" t="s">
        <v>349</v>
      </c>
    </row>
    <row r="10" ht="50.25" customHeight="1">
      <c r="A10" s="57" t="s">
        <v>25</v>
      </c>
      <c r="B10" s="86" t="s">
        <v>90</v>
      </c>
      <c r="C10" s="87" t="s">
        <v>350</v>
      </c>
      <c r="D10" s="88" t="s">
        <v>351</v>
      </c>
      <c r="E10" s="89" t="s">
        <v>352</v>
      </c>
      <c r="F10" s="89" t="s">
        <v>353</v>
      </c>
      <c r="G10" s="95" t="s">
        <v>354</v>
      </c>
      <c r="H10" s="93" t="s">
        <v>342</v>
      </c>
      <c r="I10" s="86" t="s">
        <v>67</v>
      </c>
      <c r="J10" s="96" t="s">
        <v>355</v>
      </c>
    </row>
    <row r="11" hidden="1">
      <c r="A11" s="25"/>
      <c r="B11" s="62"/>
      <c r="C11" s="62"/>
      <c r="D11" s="62"/>
      <c r="E11" s="62"/>
      <c r="F11" s="62"/>
      <c r="G11" s="62"/>
      <c r="H11" s="62"/>
      <c r="I11" s="62"/>
      <c r="J11" s="62"/>
    </row>
    <row r="12" ht="12.75" customHeight="1"/>
    <row r="13" ht="138.75" customHeight="1">
      <c r="A13" s="27" t="s">
        <v>356</v>
      </c>
      <c r="B13" s="4"/>
      <c r="C13" s="4"/>
      <c r="D13" s="4"/>
      <c r="E13" s="4"/>
      <c r="F13" s="4"/>
      <c r="G13" s="4"/>
      <c r="H13" s="4"/>
      <c r="I13" s="4"/>
      <c r="J13" s="5"/>
    </row>
    <row r="14" ht="12.75" customHeight="1"/>
    <row r="15" ht="75.0" customHeight="1">
      <c r="A15" s="27" t="s">
        <v>357</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8"/>
      <c r="E26" s="28"/>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ref="C8"/>
    <hyperlink r:id="rId2" ref="C9"/>
    <hyperlink r:id="rId3" ref="C10"/>
  </hyperlinks>
  <printOptions/>
  <pageMargins bottom="0.75" footer="0.0" header="0.0" left="0.7" right="0.7" top="0.75"/>
  <pageSetup orientation="landscape"/>
  <drawing r:id="rId4"/>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row r="2" ht="27.75" customHeight="1">
      <c r="D2" s="2" t="s">
        <v>0</v>
      </c>
    </row>
    <row r="3" ht="12.75" customHeight="1"/>
    <row r="4" ht="12.75" customHeight="1"/>
    <row r="5" ht="43.5" customHeight="1">
      <c r="A5" s="68">
        <v>0.0</v>
      </c>
      <c r="B5" s="4"/>
      <c r="C5" s="4"/>
      <c r="D5" s="4"/>
      <c r="E5" s="4"/>
      <c r="F5" s="4"/>
      <c r="G5" s="4"/>
      <c r="H5" s="4"/>
      <c r="I5" s="4"/>
      <c r="J5" s="5"/>
    </row>
    <row r="6" ht="15.75" customHeight="1"/>
    <row r="7" ht="75.75" customHeight="1">
      <c r="A7" s="6" t="s">
        <v>2</v>
      </c>
      <c r="B7" s="44" t="s">
        <v>358</v>
      </c>
      <c r="C7" s="44" t="s">
        <v>359</v>
      </c>
      <c r="D7" s="44" t="s">
        <v>360</v>
      </c>
      <c r="E7" s="44" t="s">
        <v>361</v>
      </c>
      <c r="F7" s="45" t="s">
        <v>362</v>
      </c>
      <c r="G7" s="46" t="s">
        <v>363</v>
      </c>
      <c r="H7" s="44" t="s">
        <v>9</v>
      </c>
      <c r="I7" s="44" t="s">
        <v>364</v>
      </c>
      <c r="J7" s="44" t="s">
        <v>365</v>
      </c>
      <c r="K7" s="10"/>
      <c r="L7" s="10"/>
      <c r="M7" s="10"/>
      <c r="N7" s="10"/>
      <c r="O7" s="10"/>
      <c r="P7" s="10"/>
      <c r="Q7" s="10"/>
      <c r="R7" s="10"/>
      <c r="S7" s="10"/>
      <c r="T7" s="10"/>
      <c r="U7" s="10"/>
      <c r="V7" s="10"/>
      <c r="W7" s="10"/>
      <c r="X7" s="10"/>
      <c r="Y7" s="10"/>
      <c r="Z7" s="10"/>
    </row>
    <row r="8" ht="50.25" customHeight="1">
      <c r="A8" s="57" t="s">
        <v>12</v>
      </c>
      <c r="B8" s="86" t="s">
        <v>366</v>
      </c>
      <c r="C8" s="87" t="s">
        <v>367</v>
      </c>
      <c r="D8" s="88" t="s">
        <v>368</v>
      </c>
      <c r="E8" s="73" t="s">
        <v>369</v>
      </c>
      <c r="F8" s="89" t="s">
        <v>370</v>
      </c>
      <c r="G8" s="95" t="s">
        <v>371</v>
      </c>
      <c r="H8" s="93" t="s">
        <v>372</v>
      </c>
      <c r="I8" s="86" t="s">
        <v>17</v>
      </c>
      <c r="J8" s="88" t="s">
        <v>373</v>
      </c>
    </row>
    <row r="9" ht="50.25" customHeight="1">
      <c r="A9" s="57" t="s">
        <v>19</v>
      </c>
      <c r="B9" s="86" t="s">
        <v>374</v>
      </c>
      <c r="C9" s="87" t="s">
        <v>375</v>
      </c>
      <c r="D9" s="88" t="s">
        <v>376</v>
      </c>
      <c r="E9" s="73" t="s">
        <v>377</v>
      </c>
      <c r="F9" s="89" t="s">
        <v>378</v>
      </c>
      <c r="G9" s="95" t="s">
        <v>379</v>
      </c>
      <c r="H9" s="93" t="s">
        <v>372</v>
      </c>
      <c r="I9" s="86" t="s">
        <v>17</v>
      </c>
      <c r="J9" s="88" t="s">
        <v>380</v>
      </c>
    </row>
    <row r="10" ht="50.25" customHeight="1">
      <c r="A10" s="57" t="s">
        <v>25</v>
      </c>
      <c r="B10" s="86" t="s">
        <v>381</v>
      </c>
      <c r="C10" s="87" t="s">
        <v>382</v>
      </c>
      <c r="D10" s="88" t="s">
        <v>383</v>
      </c>
      <c r="E10" s="73" t="s">
        <v>384</v>
      </c>
      <c r="F10" s="89" t="s">
        <v>385</v>
      </c>
      <c r="G10" s="95" t="s">
        <v>386</v>
      </c>
      <c r="H10" s="93" t="s">
        <v>372</v>
      </c>
      <c r="I10" s="86" t="s">
        <v>17</v>
      </c>
      <c r="J10" s="86" t="s">
        <v>387</v>
      </c>
    </row>
    <row r="11" hidden="1">
      <c r="A11" s="25"/>
      <c r="B11" s="62"/>
      <c r="C11" s="62"/>
      <c r="D11" s="62"/>
      <c r="E11" s="62"/>
      <c r="F11" s="62"/>
      <c r="G11" s="62"/>
      <c r="H11" s="62"/>
      <c r="I11" s="62"/>
      <c r="J11" s="62"/>
    </row>
    <row r="12" ht="12.75" customHeight="1"/>
    <row r="13" ht="138.75" customHeight="1">
      <c r="A13" s="27" t="s">
        <v>388</v>
      </c>
      <c r="B13" s="4"/>
      <c r="C13" s="4"/>
      <c r="D13" s="4"/>
      <c r="E13" s="4"/>
      <c r="F13" s="4"/>
      <c r="G13" s="4"/>
      <c r="H13" s="4"/>
      <c r="I13" s="4"/>
      <c r="J13" s="5"/>
    </row>
    <row r="14" ht="12.75" customHeight="1"/>
    <row r="15" ht="75.0" customHeight="1">
      <c r="A15" s="27" t="s">
        <v>389</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8"/>
      <c r="E26" s="28"/>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ref="C8"/>
    <hyperlink r:id="rId2" ref="C9"/>
    <hyperlink r:id="rId3" ref="C10"/>
  </hyperlinks>
  <printOptions/>
  <pageMargins bottom="0.75" footer="0.0" header="0.0" left="0.7" right="0.7" top="0.75"/>
  <pageSetup orientation="landscape"/>
  <drawing r:id="rId4"/>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c r="A1" s="1" t="s">
        <v>390</v>
      </c>
    </row>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44" t="s">
        <v>391</v>
      </c>
      <c r="C7" s="44" t="s">
        <v>392</v>
      </c>
      <c r="D7" s="44" t="s">
        <v>393</v>
      </c>
      <c r="E7" s="44" t="s">
        <v>394</v>
      </c>
      <c r="F7" s="45" t="s">
        <v>395</v>
      </c>
      <c r="G7" s="46" t="s">
        <v>396</v>
      </c>
      <c r="H7" s="44" t="s">
        <v>9</v>
      </c>
      <c r="I7" s="44" t="s">
        <v>397</v>
      </c>
      <c r="J7" s="44" t="s">
        <v>398</v>
      </c>
      <c r="K7" s="10"/>
      <c r="L7" s="10"/>
      <c r="M7" s="10"/>
      <c r="N7" s="10"/>
      <c r="O7" s="10"/>
      <c r="P7" s="10"/>
      <c r="Q7" s="10"/>
      <c r="R7" s="10"/>
      <c r="S7" s="10"/>
      <c r="T7" s="10"/>
      <c r="U7" s="10"/>
      <c r="V7" s="10"/>
      <c r="W7" s="10"/>
      <c r="X7" s="10"/>
      <c r="Y7" s="10"/>
      <c r="Z7" s="10"/>
    </row>
    <row r="8" ht="50.25" customHeight="1">
      <c r="A8" s="57" t="s">
        <v>12</v>
      </c>
      <c r="B8" s="86" t="s">
        <v>399</v>
      </c>
      <c r="C8" s="87" t="s">
        <v>400</v>
      </c>
      <c r="D8" s="88" t="s">
        <v>401</v>
      </c>
      <c r="E8" s="73">
        <v>120.0</v>
      </c>
      <c r="F8" s="89" t="s">
        <v>402</v>
      </c>
      <c r="G8" s="89">
        <v>67.47</v>
      </c>
      <c r="H8" s="89">
        <f t="shared" ref="H8:H10" si="1">G8*3900</f>
        <v>263133</v>
      </c>
      <c r="I8" s="86" t="s">
        <v>17</v>
      </c>
      <c r="J8" s="88" t="s">
        <v>403</v>
      </c>
    </row>
    <row r="9" ht="68.25" customHeight="1">
      <c r="A9" s="57" t="s">
        <v>19</v>
      </c>
      <c r="B9" s="86" t="s">
        <v>404</v>
      </c>
      <c r="C9" s="87" t="s">
        <v>405</v>
      </c>
      <c r="D9" s="88" t="s">
        <v>406</v>
      </c>
      <c r="E9" s="97">
        <v>210.0</v>
      </c>
      <c r="F9" s="89" t="s">
        <v>407</v>
      </c>
      <c r="G9" s="89">
        <v>118.1</v>
      </c>
      <c r="H9" s="89">
        <f t="shared" si="1"/>
        <v>460590</v>
      </c>
      <c r="I9" s="86" t="s">
        <v>17</v>
      </c>
      <c r="J9" s="88" t="s">
        <v>408</v>
      </c>
    </row>
    <row r="10" ht="50.25" customHeight="1">
      <c r="A10" s="57" t="s">
        <v>25</v>
      </c>
      <c r="B10" s="86" t="s">
        <v>409</v>
      </c>
      <c r="C10" s="87" t="s">
        <v>410</v>
      </c>
      <c r="D10" s="98" t="s">
        <v>411</v>
      </c>
      <c r="E10" s="73">
        <v>230.0</v>
      </c>
      <c r="F10" s="89" t="s">
        <v>412</v>
      </c>
      <c r="G10" s="89">
        <v>129.4</v>
      </c>
      <c r="H10" s="89">
        <f t="shared" si="1"/>
        <v>504660</v>
      </c>
      <c r="I10" s="86" t="s">
        <v>17</v>
      </c>
      <c r="J10" s="99" t="s">
        <v>413</v>
      </c>
    </row>
    <row r="11" hidden="1">
      <c r="A11" s="25"/>
      <c r="B11" s="62"/>
      <c r="C11" s="62"/>
      <c r="D11" s="62"/>
      <c r="E11" s="62"/>
      <c r="F11" s="62"/>
      <c r="G11" s="62"/>
      <c r="H11" s="62"/>
      <c r="I11" s="62"/>
      <c r="J11" s="62"/>
    </row>
    <row r="12" ht="12.75" customHeight="1"/>
    <row r="13" ht="138.75" customHeight="1">
      <c r="A13" s="27" t="s">
        <v>414</v>
      </c>
      <c r="B13" s="4"/>
      <c r="C13" s="4"/>
      <c r="D13" s="4"/>
      <c r="E13" s="4"/>
      <c r="F13" s="4"/>
      <c r="G13" s="4"/>
      <c r="H13" s="4"/>
      <c r="I13" s="4"/>
      <c r="J13" s="5"/>
    </row>
    <row r="14" ht="12.75" customHeight="1"/>
    <row r="15" ht="75.0" customHeight="1">
      <c r="A15" s="27" t="s">
        <v>415</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8"/>
      <c r="E26" s="28"/>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ref="C8"/>
    <hyperlink r:id="rId2" ref="C9"/>
    <hyperlink r:id="rId3" ref="C10"/>
  </hyperlinks>
  <printOptions/>
  <pageMargins bottom="0.75" footer="0.0" header="0.0" left="0.7" right="0.7" top="0.75"/>
  <pageSetup orientation="landscape"/>
  <drawing r:id="rId4"/>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c r="A1" s="1"/>
    </row>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44" t="s">
        <v>416</v>
      </c>
      <c r="C7" s="44" t="s">
        <v>417</v>
      </c>
      <c r="D7" s="44" t="s">
        <v>418</v>
      </c>
      <c r="E7" s="44" t="s">
        <v>419</v>
      </c>
      <c r="F7" s="45" t="s">
        <v>420</v>
      </c>
      <c r="G7" s="46" t="s">
        <v>421</v>
      </c>
      <c r="H7" s="44" t="s">
        <v>9</v>
      </c>
      <c r="I7" s="44" t="s">
        <v>422</v>
      </c>
      <c r="J7" s="44" t="s">
        <v>423</v>
      </c>
      <c r="K7" s="10"/>
      <c r="L7" s="10"/>
      <c r="M7" s="10"/>
      <c r="N7" s="10"/>
      <c r="O7" s="10"/>
      <c r="P7" s="10"/>
      <c r="Q7" s="10"/>
      <c r="R7" s="10"/>
      <c r="S7" s="10"/>
      <c r="T7" s="10"/>
      <c r="U7" s="10"/>
      <c r="V7" s="10"/>
      <c r="W7" s="10"/>
      <c r="X7" s="10"/>
      <c r="Y7" s="10"/>
      <c r="Z7" s="10"/>
    </row>
    <row r="8" ht="50.25" customHeight="1">
      <c r="A8" s="57" t="s">
        <v>12</v>
      </c>
      <c r="B8" s="86" t="s">
        <v>424</v>
      </c>
      <c r="C8" s="87" t="s">
        <v>425</v>
      </c>
      <c r="D8" s="88" t="s">
        <v>426</v>
      </c>
      <c r="E8" s="73">
        <v>480000.0</v>
      </c>
      <c r="F8" s="89">
        <v>571200.0</v>
      </c>
      <c r="G8" s="95">
        <v>276.0</v>
      </c>
      <c r="H8" s="100">
        <f t="shared" ref="H8:H10" si="1">G8*3900</f>
        <v>1076400</v>
      </c>
      <c r="I8" s="86" t="s">
        <v>17</v>
      </c>
      <c r="J8" s="88" t="s">
        <v>427</v>
      </c>
    </row>
    <row r="9" ht="50.25" customHeight="1">
      <c r="A9" s="57" t="s">
        <v>19</v>
      </c>
      <c r="B9" s="86" t="s">
        <v>428</v>
      </c>
      <c r="C9" s="87" t="s">
        <v>429</v>
      </c>
      <c r="D9" s="88" t="s">
        <v>430</v>
      </c>
      <c r="E9" s="73">
        <v>720000.0</v>
      </c>
      <c r="F9" s="89">
        <v>856800.0</v>
      </c>
      <c r="G9" s="95">
        <v>414.0</v>
      </c>
      <c r="H9" s="100">
        <f t="shared" si="1"/>
        <v>1614600</v>
      </c>
      <c r="I9" s="86" t="s">
        <v>17</v>
      </c>
      <c r="J9" s="88" t="s">
        <v>431</v>
      </c>
    </row>
    <row r="10" ht="50.25" customHeight="1">
      <c r="A10" s="57" t="s">
        <v>25</v>
      </c>
      <c r="B10" s="86" t="s">
        <v>287</v>
      </c>
      <c r="C10" s="87" t="s">
        <v>432</v>
      </c>
      <c r="D10" s="88" t="s">
        <v>433</v>
      </c>
      <c r="E10" s="97">
        <v>950000.0</v>
      </c>
      <c r="F10" s="89">
        <v>1127500.0</v>
      </c>
      <c r="G10" s="95">
        <v>545.0</v>
      </c>
      <c r="H10" s="100">
        <f t="shared" si="1"/>
        <v>2125500</v>
      </c>
      <c r="I10" s="86" t="s">
        <v>17</v>
      </c>
      <c r="J10" s="86" t="s">
        <v>434</v>
      </c>
    </row>
    <row r="11" hidden="1">
      <c r="A11" s="25"/>
      <c r="B11" s="62"/>
      <c r="C11" s="62"/>
      <c r="D11" s="62"/>
      <c r="E11" s="62"/>
      <c r="F11" s="62"/>
      <c r="G11" s="101">
        <f>F11+E11</f>
        <v>0</v>
      </c>
      <c r="H11" s="62"/>
      <c r="I11" s="62"/>
      <c r="J11" s="62"/>
    </row>
    <row r="12" ht="12.75" customHeight="1">
      <c r="G12" s="102"/>
    </row>
    <row r="13" ht="138.75" customHeight="1">
      <c r="A13" s="27" t="s">
        <v>435</v>
      </c>
      <c r="B13" s="4"/>
      <c r="C13" s="4"/>
      <c r="D13" s="4"/>
      <c r="E13" s="4"/>
      <c r="F13" s="4"/>
      <c r="G13" s="4"/>
      <c r="H13" s="4"/>
      <c r="I13" s="4"/>
      <c r="J13" s="5"/>
    </row>
    <row r="14" ht="12.75" customHeight="1"/>
    <row r="15" ht="75.0" customHeight="1">
      <c r="A15" s="27" t="s">
        <v>436</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8"/>
      <c r="E26" s="28"/>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ref="C8"/>
    <hyperlink r:id="rId2" ref="C9"/>
    <hyperlink r:id="rId3" ref="C10"/>
  </hyperlinks>
  <printOptions/>
  <pageMargins bottom="0.75" footer="0.0" header="0.0" left="0.7" right="0.7" top="0.75"/>
  <pageSetup orientation="landscape"/>
  <drawing r:id="rId4"/>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c r="A1" s="1"/>
    </row>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44" t="s">
        <v>437</v>
      </c>
      <c r="C7" s="44" t="s">
        <v>438</v>
      </c>
      <c r="D7" s="44" t="s">
        <v>439</v>
      </c>
      <c r="E7" s="44" t="s">
        <v>440</v>
      </c>
      <c r="F7" s="45" t="s">
        <v>441</v>
      </c>
      <c r="G7" s="46" t="s">
        <v>442</v>
      </c>
      <c r="H7" s="44" t="s">
        <v>9</v>
      </c>
      <c r="I7" s="44" t="s">
        <v>443</v>
      </c>
      <c r="J7" s="44" t="s">
        <v>444</v>
      </c>
      <c r="K7" s="10"/>
      <c r="L7" s="10"/>
      <c r="M7" s="10"/>
      <c r="N7" s="10"/>
      <c r="O7" s="10"/>
      <c r="P7" s="10"/>
      <c r="Q7" s="10"/>
      <c r="R7" s="10"/>
      <c r="S7" s="10"/>
      <c r="T7" s="10"/>
      <c r="U7" s="10"/>
      <c r="V7" s="10"/>
      <c r="W7" s="10"/>
      <c r="X7" s="10"/>
      <c r="Y7" s="10"/>
      <c r="Z7" s="10"/>
    </row>
    <row r="8" ht="50.25" customHeight="1">
      <c r="A8" s="57" t="s">
        <v>12</v>
      </c>
      <c r="B8" s="103" t="s">
        <v>445</v>
      </c>
      <c r="C8" s="104" t="s">
        <v>446</v>
      </c>
      <c r="D8" s="105" t="s">
        <v>447</v>
      </c>
      <c r="E8" s="106">
        <v>820000.0</v>
      </c>
      <c r="F8" s="107">
        <f t="shared" ref="F8:F9" si="1">E8*1.19</f>
        <v>975800</v>
      </c>
      <c r="G8" s="35">
        <f t="shared" ref="G8:G10" si="2">(F8+E8)/3900</f>
        <v>460.4615385</v>
      </c>
      <c r="H8" s="108">
        <f t="shared" ref="H8:H10" si="3">G8*3900</f>
        <v>1795800</v>
      </c>
      <c r="I8" s="109" t="s">
        <v>67</v>
      </c>
      <c r="J8" s="103" t="s">
        <v>448</v>
      </c>
    </row>
    <row r="9" ht="50.25" customHeight="1">
      <c r="A9" s="57" t="s">
        <v>19</v>
      </c>
      <c r="B9" s="103" t="s">
        <v>449</v>
      </c>
      <c r="C9" s="104" t="s">
        <v>450</v>
      </c>
      <c r="D9" s="103" t="s">
        <v>451</v>
      </c>
      <c r="E9" s="106">
        <v>1050000.0</v>
      </c>
      <c r="F9" s="107">
        <f t="shared" si="1"/>
        <v>1249500</v>
      </c>
      <c r="G9" s="35">
        <f t="shared" si="2"/>
        <v>589.6153846</v>
      </c>
      <c r="H9" s="108">
        <f t="shared" si="3"/>
        <v>2299500</v>
      </c>
      <c r="I9" s="109" t="s">
        <v>67</v>
      </c>
      <c r="J9" s="110" t="s">
        <v>452</v>
      </c>
    </row>
    <row r="10" ht="50.25" customHeight="1">
      <c r="A10" s="57" t="s">
        <v>25</v>
      </c>
      <c r="B10" s="109" t="s">
        <v>453</v>
      </c>
      <c r="C10" s="87" t="s">
        <v>454</v>
      </c>
      <c r="D10" s="111" t="s">
        <v>455</v>
      </c>
      <c r="E10" s="106">
        <v>1150000.0</v>
      </c>
      <c r="F10" s="107">
        <v>1368500.0</v>
      </c>
      <c r="G10" s="35">
        <f t="shared" si="2"/>
        <v>645.7692308</v>
      </c>
      <c r="H10" s="108">
        <f t="shared" si="3"/>
        <v>2518500</v>
      </c>
      <c r="I10" s="109" t="s">
        <v>67</v>
      </c>
      <c r="J10" s="110" t="s">
        <v>456</v>
      </c>
    </row>
    <row r="11" hidden="1">
      <c r="A11" s="25"/>
      <c r="B11" s="62"/>
      <c r="C11" s="62"/>
      <c r="D11" s="62"/>
      <c r="E11" s="62"/>
      <c r="F11" s="62"/>
      <c r="G11" s="62"/>
      <c r="H11" s="62"/>
      <c r="I11" s="62"/>
      <c r="J11" s="62"/>
    </row>
    <row r="12" ht="12.75" customHeight="1"/>
    <row r="13" ht="138.75" customHeight="1">
      <c r="A13" s="27" t="s">
        <v>457</v>
      </c>
      <c r="B13" s="4"/>
      <c r="C13" s="4"/>
      <c r="D13" s="4"/>
      <c r="E13" s="4"/>
      <c r="F13" s="4"/>
      <c r="G13" s="4"/>
      <c r="H13" s="4"/>
      <c r="I13" s="4"/>
      <c r="J13" s="5"/>
    </row>
    <row r="14" ht="12.75" customHeight="1"/>
    <row r="15" ht="75.0" customHeight="1">
      <c r="A15" s="27" t="s">
        <v>458</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8"/>
      <c r="E26" s="28"/>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ref="C8"/>
    <hyperlink r:id="rId2" ref="C9"/>
    <hyperlink r:id="rId3" ref="C10"/>
  </hyperlinks>
  <printOptions/>
  <pageMargins bottom="0.75" footer="0.0" header="0.0" left="0.7" right="0.7" top="0.75"/>
  <pageSetup orientation="landscape"/>
  <drawing r:id="rId4"/>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c r="A1" s="1"/>
    </row>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44" t="s">
        <v>459</v>
      </c>
      <c r="C7" s="44" t="s">
        <v>460</v>
      </c>
      <c r="D7" s="44" t="s">
        <v>461</v>
      </c>
      <c r="E7" s="44" t="s">
        <v>462</v>
      </c>
      <c r="F7" s="45" t="s">
        <v>463</v>
      </c>
      <c r="G7" s="46" t="s">
        <v>464</v>
      </c>
      <c r="H7" s="44" t="s">
        <v>9</v>
      </c>
      <c r="I7" s="44" t="s">
        <v>465</v>
      </c>
      <c r="J7" s="44" t="s">
        <v>466</v>
      </c>
      <c r="K7" s="10"/>
      <c r="L7" s="10"/>
      <c r="M7" s="10"/>
      <c r="N7" s="10"/>
      <c r="O7" s="10"/>
      <c r="P7" s="10"/>
      <c r="Q7" s="10"/>
      <c r="R7" s="10"/>
      <c r="S7" s="10"/>
      <c r="T7" s="10"/>
      <c r="U7" s="10"/>
      <c r="V7" s="10"/>
      <c r="W7" s="10"/>
      <c r="X7" s="10"/>
      <c r="Y7" s="10"/>
      <c r="Z7" s="10"/>
    </row>
    <row r="8" ht="50.25" customHeight="1">
      <c r="A8" s="57" t="s">
        <v>12</v>
      </c>
      <c r="B8" s="112" t="s">
        <v>467</v>
      </c>
      <c r="C8" s="113" t="s">
        <v>468</v>
      </c>
      <c r="D8" s="114" t="s">
        <v>469</v>
      </c>
      <c r="E8" s="115">
        <v>680000.0</v>
      </c>
      <c r="F8" s="115">
        <v>809200.0</v>
      </c>
      <c r="G8" s="116">
        <v>392.0</v>
      </c>
      <c r="H8" s="100">
        <f t="shared" ref="H8:H10" si="1">G8*3900</f>
        <v>1528800</v>
      </c>
      <c r="I8" s="112" t="s">
        <v>17</v>
      </c>
      <c r="J8" s="117" t="s">
        <v>470</v>
      </c>
    </row>
    <row r="9" ht="50.25" customHeight="1">
      <c r="A9" s="57" t="s">
        <v>19</v>
      </c>
      <c r="B9" s="112" t="s">
        <v>471</v>
      </c>
      <c r="C9" s="118" t="s">
        <v>472</v>
      </c>
      <c r="D9" s="112" t="s">
        <v>473</v>
      </c>
      <c r="E9" s="115">
        <v>450000.0</v>
      </c>
      <c r="F9" s="115">
        <v>535500.0</v>
      </c>
      <c r="G9" s="116">
        <v>260.0</v>
      </c>
      <c r="H9" s="100">
        <f t="shared" si="1"/>
        <v>1014000</v>
      </c>
      <c r="I9" s="112" t="s">
        <v>17</v>
      </c>
      <c r="J9" s="117" t="s">
        <v>474</v>
      </c>
    </row>
    <row r="10" ht="50.25" customHeight="1">
      <c r="A10" s="57" t="s">
        <v>25</v>
      </c>
      <c r="B10" s="112" t="s">
        <v>90</v>
      </c>
      <c r="C10" s="119" t="s">
        <v>475</v>
      </c>
      <c r="D10" s="114" t="s">
        <v>476</v>
      </c>
      <c r="E10" s="115">
        <v>860000.0</v>
      </c>
      <c r="F10" s="115">
        <v>1023400.0</v>
      </c>
      <c r="G10" s="116">
        <v>495.0</v>
      </c>
      <c r="H10" s="100">
        <f t="shared" si="1"/>
        <v>1930500</v>
      </c>
      <c r="I10" s="112" t="s">
        <v>17</v>
      </c>
      <c r="J10" s="112" t="s">
        <v>477</v>
      </c>
    </row>
    <row r="11" hidden="1">
      <c r="A11" s="25"/>
      <c r="B11" s="62"/>
      <c r="C11" s="62"/>
      <c r="D11" s="62"/>
      <c r="E11" s="62"/>
      <c r="F11" s="62"/>
      <c r="G11" s="62"/>
      <c r="H11" s="62"/>
      <c r="I11" s="62"/>
      <c r="J11" s="62"/>
    </row>
    <row r="12" ht="12.75" customHeight="1"/>
    <row r="13" ht="138.75" customHeight="1">
      <c r="A13" s="27" t="s">
        <v>478</v>
      </c>
      <c r="B13" s="4"/>
      <c r="C13" s="4"/>
      <c r="D13" s="4"/>
      <c r="E13" s="4"/>
      <c r="F13" s="4"/>
      <c r="G13" s="4"/>
      <c r="H13" s="4"/>
      <c r="I13" s="4"/>
      <c r="J13" s="5"/>
    </row>
    <row r="14" ht="12.75" customHeight="1"/>
    <row r="15" ht="75.0" customHeight="1">
      <c r="A15" s="27" t="s">
        <v>479</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8"/>
      <c r="E26" s="28"/>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ref="C8"/>
    <hyperlink r:id="rId2" ref="C9"/>
    <hyperlink r:id="rId3" ref="C10"/>
  </hyperlinks>
  <printOptions/>
  <pageMargins bottom="0.75" footer="0.0" header="0.0" left="0.7" right="0.7" top="0.75"/>
  <pageSetup orientation="landscape"/>
  <drawing r:id="rId4"/>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c r="A1" s="1"/>
    </row>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44" t="s">
        <v>480</v>
      </c>
      <c r="C7" s="44" t="s">
        <v>481</v>
      </c>
      <c r="D7" s="44" t="s">
        <v>482</v>
      </c>
      <c r="E7" s="44" t="s">
        <v>483</v>
      </c>
      <c r="F7" s="45" t="s">
        <v>484</v>
      </c>
      <c r="G7" s="46" t="s">
        <v>485</v>
      </c>
      <c r="H7" s="44" t="s">
        <v>9</v>
      </c>
      <c r="I7" s="44" t="s">
        <v>486</v>
      </c>
      <c r="J7" s="44" t="s">
        <v>487</v>
      </c>
      <c r="K7" s="10"/>
      <c r="L7" s="10"/>
      <c r="M7" s="10"/>
      <c r="N7" s="10"/>
      <c r="O7" s="10"/>
      <c r="P7" s="10"/>
      <c r="Q7" s="10"/>
      <c r="R7" s="10"/>
      <c r="S7" s="10"/>
      <c r="T7" s="10"/>
      <c r="U7" s="10"/>
      <c r="V7" s="10"/>
      <c r="W7" s="10"/>
      <c r="X7" s="10"/>
      <c r="Y7" s="10"/>
      <c r="Z7" s="10"/>
    </row>
    <row r="8" ht="50.25" customHeight="1">
      <c r="A8" s="57" t="s">
        <v>12</v>
      </c>
      <c r="B8" s="103" t="s">
        <v>488</v>
      </c>
      <c r="C8" s="104" t="s">
        <v>489</v>
      </c>
      <c r="D8" s="105" t="s">
        <v>490</v>
      </c>
      <c r="E8" s="120">
        <v>1150000.0</v>
      </c>
      <c r="F8" s="120">
        <f t="shared" ref="F8:F10" si="1">E8*1.19</f>
        <v>1368500</v>
      </c>
      <c r="G8" s="35">
        <f t="shared" ref="G8:G10" si="2">(F8+E8)/3900</f>
        <v>645.7692308</v>
      </c>
      <c r="H8" s="121">
        <f t="shared" ref="H8:H10" si="3">G8*3900</f>
        <v>2518500</v>
      </c>
      <c r="I8" s="86" t="s">
        <v>17</v>
      </c>
      <c r="J8" s="117" t="s">
        <v>491</v>
      </c>
    </row>
    <row r="9" ht="50.25" customHeight="1">
      <c r="A9" s="57" t="s">
        <v>19</v>
      </c>
      <c r="B9" s="103" t="s">
        <v>424</v>
      </c>
      <c r="C9" s="104" t="s">
        <v>492</v>
      </c>
      <c r="D9" s="103" t="s">
        <v>493</v>
      </c>
      <c r="E9" s="120">
        <v>3280000.0</v>
      </c>
      <c r="F9" s="120">
        <f t="shared" si="1"/>
        <v>3903200</v>
      </c>
      <c r="G9" s="35">
        <f t="shared" si="2"/>
        <v>1841.846154</v>
      </c>
      <c r="H9" s="121">
        <f t="shared" si="3"/>
        <v>7183200</v>
      </c>
      <c r="I9" s="86" t="s">
        <v>17</v>
      </c>
      <c r="J9" s="117" t="s">
        <v>494</v>
      </c>
    </row>
    <row r="10" ht="50.25" customHeight="1">
      <c r="A10" s="57" t="s">
        <v>25</v>
      </c>
      <c r="B10" s="86" t="s">
        <v>488</v>
      </c>
      <c r="C10" s="87" t="s">
        <v>495</v>
      </c>
      <c r="D10" s="88" t="s">
        <v>496</v>
      </c>
      <c r="E10" s="73">
        <v>3756303.0</v>
      </c>
      <c r="F10" s="120">
        <f t="shared" si="1"/>
        <v>4470000.57</v>
      </c>
      <c r="G10" s="35">
        <f t="shared" si="2"/>
        <v>2109.308608</v>
      </c>
      <c r="H10" s="121">
        <f t="shared" si="3"/>
        <v>8226303.57</v>
      </c>
      <c r="I10" s="86" t="s">
        <v>17</v>
      </c>
      <c r="J10" s="122" t="s">
        <v>497</v>
      </c>
    </row>
    <row r="11" hidden="1">
      <c r="A11" s="25"/>
      <c r="B11" s="62"/>
      <c r="C11" s="62"/>
      <c r="D11" s="62"/>
      <c r="E11" s="62"/>
      <c r="F11" s="62"/>
      <c r="G11" s="62"/>
      <c r="H11" s="62"/>
      <c r="I11" s="62"/>
      <c r="J11" s="62"/>
    </row>
    <row r="12" ht="12.75" customHeight="1"/>
    <row r="13" ht="138.75" customHeight="1">
      <c r="A13" s="27" t="s">
        <v>498</v>
      </c>
      <c r="B13" s="4"/>
      <c r="C13" s="4"/>
      <c r="D13" s="4"/>
      <c r="E13" s="4"/>
      <c r="F13" s="4"/>
      <c r="G13" s="4"/>
      <c r="H13" s="4"/>
      <c r="I13" s="4"/>
      <c r="J13" s="5"/>
    </row>
    <row r="14" ht="12.75" customHeight="1"/>
    <row r="15" ht="75.0" customHeight="1">
      <c r="A15" s="27" t="s">
        <v>499</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8"/>
      <c r="E26" s="28"/>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ref="C8"/>
    <hyperlink r:id="rId2" ref="C9"/>
    <hyperlink r:id="rId3" ref="C10"/>
  </hyperlinks>
  <printOptions/>
  <pageMargins bottom="0.75" footer="0.0" header="0.0" left="0.7" right="0.7" top="0.75"/>
  <pageSetup orientation="landscape"/>
  <drawing r:id="rId4"/>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2010-11-08T17:12:00Z</dcterms:created>
  <dc:creator>Administrador</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2058-12.9.0.21549</vt:lpwstr>
  </property>
  <property fmtid="{D5CDD505-2E9C-101B-9397-08002B2CF9AE}" pid="3" name="ICV">
    <vt:lpwstr>0D5D0430F13847C7A00AD366FE4C9074_13</vt:lpwstr>
  </property>
</Properties>
</file>